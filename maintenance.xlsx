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517982_cognizant_com/Documents/Personal/"/>
    </mc:Choice>
  </mc:AlternateContent>
  <xr:revisionPtr revIDLastSave="1417" documentId="13_ncr:1_{86FFCE27-3FAD-4AB8-AF19-7C86EBEDCBC8}" xr6:coauthVersionLast="47" xr6:coauthVersionMax="47" xr10:uidLastSave="{F09B644A-A4ED-4CB8-9123-3183ED86C7E1}"/>
  <bookViews>
    <workbookView xWindow="-108" yWindow="-108" windowWidth="23256" windowHeight="12456" activeTab="1" xr2:uid="{CDD9DFE9-09ED-461E-A49C-F8DD1C680E25}"/>
  </bookViews>
  <sheets>
    <sheet name="Home" sheetId="1" r:id="rId1"/>
    <sheet name="Can" sheetId="8" r:id="rId2"/>
    <sheet name="Travel" sheetId="10" r:id="rId3"/>
    <sheet name="CV" sheetId="2" r:id="rId4"/>
    <sheet name="EMI" sheetId="9" r:id="rId5"/>
    <sheet name="Health" sheetId="11" r:id="rId6"/>
    <sheet name="Days" sheetId="12" r:id="rId7"/>
    <sheet name="Learning" sheetId="13" r:id="rId8"/>
  </sheets>
  <definedNames>
    <definedName name="_xlnm._FilterDatabase" localSheetId="1" hidden="1">Can!$G$21:$I$28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7" i="8" l="1"/>
  <c r="L12" i="10"/>
  <c r="L11" i="10"/>
  <c r="P77" i="8"/>
  <c r="L79" i="8"/>
  <c r="H74" i="8"/>
  <c r="H73" i="8"/>
  <c r="N103" i="8"/>
  <c r="N104" i="8"/>
  <c r="B25" i="10"/>
  <c r="G81" i="8"/>
  <c r="F81" i="8"/>
  <c r="Q87" i="8"/>
  <c r="D104" i="2"/>
  <c r="D102" i="2"/>
  <c r="B104" i="2"/>
  <c r="C25" i="10"/>
  <c r="F8" i="10"/>
  <c r="M3" i="10"/>
  <c r="M2" i="10"/>
  <c r="M1" i="10"/>
  <c r="C14" i="10"/>
  <c r="C15" i="10"/>
  <c r="C16" i="10"/>
  <c r="C17" i="10"/>
  <c r="C13" i="10"/>
  <c r="C24" i="10" s="1"/>
  <c r="B24" i="10"/>
  <c r="B10" i="10"/>
  <c r="P76" i="8"/>
  <c r="N76" i="8"/>
  <c r="U79" i="8"/>
  <c r="U72" i="8"/>
  <c r="I19" i="12"/>
  <c r="I18" i="12"/>
  <c r="H92" i="12"/>
  <c r="H91" i="12"/>
  <c r="E93" i="12"/>
  <c r="F93" i="12" s="1"/>
  <c r="S67" i="8"/>
  <c r="P67" i="8"/>
  <c r="G88" i="2"/>
  <c r="G93" i="2" s="1"/>
  <c r="O54" i="2"/>
  <c r="P68" i="8"/>
  <c r="O53" i="2"/>
  <c r="Q99" i="2"/>
  <c r="Q72" i="2"/>
  <c r="Q71" i="2"/>
  <c r="T36" i="8"/>
  <c r="C42" i="9"/>
  <c r="B42" i="9"/>
  <c r="E10" i="12"/>
  <c r="F10" i="12" s="1"/>
  <c r="I23" i="12"/>
  <c r="BQ6" i="11"/>
  <c r="BP6" i="11"/>
  <c r="BO6" i="11"/>
  <c r="BN6" i="11"/>
  <c r="BM6" i="11"/>
  <c r="BL6" i="11"/>
  <c r="BK6" i="11"/>
  <c r="BJ6" i="11"/>
  <c r="BI6" i="11"/>
  <c r="R47" i="8"/>
  <c r="S47" i="8" s="1"/>
  <c r="C90" i="2"/>
  <c r="O32" i="8"/>
  <c r="AS6" i="11"/>
  <c r="AT6" i="11"/>
  <c r="AU6" i="11"/>
  <c r="AV6" i="11"/>
  <c r="AW6" i="11"/>
  <c r="AX6" i="11"/>
  <c r="AY6" i="11"/>
  <c r="AZ6" i="11"/>
  <c r="BA6" i="11"/>
  <c r="BB6" i="11"/>
  <c r="BC6" i="11"/>
  <c r="BD6" i="11"/>
  <c r="BE6" i="11"/>
  <c r="BF6" i="11"/>
  <c r="BG6" i="11"/>
  <c r="F80" i="2"/>
  <c r="F81" i="2" s="1"/>
  <c r="G87" i="2"/>
  <c r="AN6" i="11"/>
  <c r="AO6" i="11"/>
  <c r="AP6" i="11"/>
  <c r="AQ6" i="11"/>
  <c r="AR6" i="11"/>
  <c r="E14" i="12"/>
  <c r="F14" i="12" s="1"/>
  <c r="G4" i="12"/>
  <c r="I4" i="12"/>
  <c r="F4" i="12"/>
  <c r="D4" i="12"/>
  <c r="C4" i="12"/>
  <c r="H125" i="8"/>
  <c r="G125" i="8"/>
  <c r="Q91" i="2"/>
  <c r="Q81" i="2"/>
  <c r="O99" i="2"/>
  <c r="Q88" i="2" s="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C6" i="11"/>
  <c r="D6" i="11"/>
  <c r="E6" i="11"/>
  <c r="F6" i="11"/>
  <c r="G6" i="11"/>
  <c r="H6" i="11"/>
  <c r="I6" i="11"/>
  <c r="J6" i="11"/>
  <c r="K6" i="11"/>
  <c r="L6" i="11"/>
  <c r="M6" i="11"/>
  <c r="N6" i="11"/>
  <c r="B6" i="11"/>
  <c r="P63" i="8"/>
  <c r="K99" i="2"/>
  <c r="H19" i="9"/>
  <c r="E19" i="9"/>
  <c r="E26" i="9" s="1"/>
  <c r="D40" i="8"/>
  <c r="D47" i="8" s="1"/>
  <c r="D74" i="8"/>
  <c r="D78" i="8" s="1"/>
  <c r="R59" i="2"/>
  <c r="O49" i="2"/>
  <c r="R37" i="2" s="1"/>
  <c r="R40" i="2"/>
  <c r="R39" i="2"/>
  <c r="S78" i="8"/>
  <c r="D40" i="2"/>
  <c r="C40" i="2"/>
  <c r="P41" i="8"/>
  <c r="O41" i="8"/>
  <c r="K60" i="2"/>
  <c r="R46" i="8"/>
  <c r="S46" i="8" s="1"/>
  <c r="R45" i="8"/>
  <c r="S45" i="8" s="1"/>
  <c r="T45" i="8" s="1"/>
  <c r="T46" i="8" s="1"/>
  <c r="O16" i="1"/>
  <c r="L16" i="1"/>
  <c r="G5" i="9"/>
  <c r="G6" i="9"/>
  <c r="G7" i="9"/>
  <c r="G8" i="9"/>
  <c r="G9" i="9"/>
  <c r="G10" i="9"/>
  <c r="G4" i="9"/>
  <c r="K10" i="9"/>
  <c r="E10" i="9"/>
  <c r="I10" i="9"/>
  <c r="I9" i="9"/>
  <c r="K9" i="9"/>
  <c r="E9" i="9"/>
  <c r="E7" i="9"/>
  <c r="I4" i="9"/>
  <c r="I6" i="9"/>
  <c r="I7" i="9"/>
  <c r="I8" i="9"/>
  <c r="I5" i="9"/>
  <c r="K4" i="9"/>
  <c r="K6" i="9"/>
  <c r="K7" i="9"/>
  <c r="K8" i="9"/>
  <c r="K5" i="9"/>
  <c r="E8" i="9"/>
  <c r="E4" i="9"/>
  <c r="E6" i="9"/>
  <c r="E5" i="9"/>
  <c r="G82" i="8" l="1"/>
  <c r="R88" i="2"/>
  <c r="P82" i="8"/>
  <c r="O59" i="2"/>
  <c r="R49" i="2"/>
  <c r="P73" i="8"/>
  <c r="G14" i="9"/>
  <c r="E14" i="9"/>
  <c r="K14" i="9"/>
  <c r="I14" i="9"/>
  <c r="L35" i="8" l="1"/>
  <c r="G24" i="8"/>
  <c r="G22" i="8"/>
  <c r="B30" i="8"/>
  <c r="M2" i="8"/>
  <c r="M3" i="8" s="1"/>
  <c r="M5" i="8" s="1"/>
  <c r="M6" i="8" s="1"/>
  <c r="M7" i="8" s="1"/>
  <c r="M14" i="8" s="1"/>
  <c r="O6" i="8"/>
  <c r="O14" i="8" s="1"/>
  <c r="M156" i="8"/>
  <c r="J156" i="8"/>
  <c r="B44" i="8"/>
  <c r="C1" i="2"/>
  <c r="C7" i="8"/>
  <c r="C14" i="8" s="1"/>
  <c r="C1" i="8"/>
  <c r="L1" i="2"/>
  <c r="O28" i="2"/>
  <c r="G23" i="2"/>
  <c r="L17" i="2"/>
  <c r="L18" i="2" s="1"/>
  <c r="J19" i="2"/>
  <c r="J20" i="2" s="1"/>
  <c r="J21" i="2" s="1"/>
  <c r="J22" i="2" s="1"/>
  <c r="J23" i="2" s="1"/>
  <c r="C7" i="2"/>
  <c r="B30" i="2"/>
  <c r="O22" i="8" l="1"/>
  <c r="K14" i="8"/>
  <c r="L1" i="8"/>
  <c r="L14" i="8" s="1"/>
  <c r="H1" i="8"/>
  <c r="H14" i="8" s="1"/>
  <c r="C17" i="8"/>
  <c r="K14" i="2"/>
  <c r="L14" i="2" s="1"/>
  <c r="C14" i="2"/>
  <c r="H1" i="2" s="1"/>
  <c r="H14" i="2" s="1"/>
  <c r="G21" i="1"/>
  <c r="F21" i="1"/>
  <c r="H9" i="1"/>
  <c r="H7" i="1"/>
  <c r="G10" i="1"/>
  <c r="F10" i="1"/>
  <c r="H6" i="1" s="1"/>
  <c r="H5" i="1" l="1"/>
  <c r="J17" i="8"/>
  <c r="C17" i="2"/>
  <c r="J17" i="2"/>
</calcChain>
</file>

<file path=xl/sharedStrings.xml><?xml version="1.0" encoding="utf-8"?>
<sst xmlns="http://schemas.openxmlformats.org/spreadsheetml/2006/main" count="789" uniqueCount="391">
  <si>
    <t>Ground floor</t>
  </si>
  <si>
    <t>1st floor - Sundar</t>
  </si>
  <si>
    <t>1st floor - Sivagnanam</t>
  </si>
  <si>
    <t>2nd floor - Pandian</t>
  </si>
  <si>
    <t>2nd Floor - Raj</t>
  </si>
  <si>
    <t>Floors</t>
  </si>
  <si>
    <t>Sqft</t>
  </si>
  <si>
    <t>Maintenace amt</t>
  </si>
  <si>
    <t>Total</t>
  </si>
  <si>
    <t>CTC</t>
  </si>
  <si>
    <t>Rent</t>
  </si>
  <si>
    <t>Gas, EB</t>
  </si>
  <si>
    <t>Groceries</t>
  </si>
  <si>
    <t>Phone, wifi</t>
  </si>
  <si>
    <t>Transport</t>
  </si>
  <si>
    <t>Savings</t>
  </si>
  <si>
    <t>CTC monthly</t>
  </si>
  <si>
    <t>Canada</t>
  </si>
  <si>
    <t>India</t>
  </si>
  <si>
    <t>Home loan</t>
  </si>
  <si>
    <t xml:space="preserve">Savings </t>
  </si>
  <si>
    <t>Insurance</t>
  </si>
  <si>
    <t>NPS</t>
  </si>
  <si>
    <t>Sundar</t>
  </si>
  <si>
    <t>Terry</t>
  </si>
  <si>
    <t>Overall Savings</t>
  </si>
  <si>
    <t>Nov</t>
  </si>
  <si>
    <t>house exp (Ind)</t>
  </si>
  <si>
    <t>other exp</t>
  </si>
  <si>
    <t>house rent income</t>
  </si>
  <si>
    <t>Advance</t>
  </si>
  <si>
    <t>Cash in hand</t>
  </si>
  <si>
    <t>bank</t>
  </si>
  <si>
    <t>tax return</t>
  </si>
  <si>
    <t>cash adv</t>
  </si>
  <si>
    <t>PF Terrry</t>
  </si>
  <si>
    <t>settlement</t>
  </si>
  <si>
    <t>car extra</t>
  </si>
  <si>
    <t>house</t>
  </si>
  <si>
    <t>exp house</t>
  </si>
  <si>
    <t>FD</t>
  </si>
  <si>
    <t>car EMI</t>
  </si>
  <si>
    <t>HDFC - 41088332 Tejas@1986</t>
  </si>
  <si>
    <t>CITI - terrisrajam Citi1986</t>
  </si>
  <si>
    <t>ICICI - sseshad Tejas@123</t>
  </si>
  <si>
    <t>34000 to be transferred from sundar</t>
  </si>
  <si>
    <t>Rent 2</t>
  </si>
  <si>
    <t>1 year</t>
  </si>
  <si>
    <t>Can Sav</t>
  </si>
  <si>
    <t>bills</t>
  </si>
  <si>
    <t>Taxi</t>
  </si>
  <si>
    <t>Transfer</t>
  </si>
  <si>
    <t>EMI</t>
  </si>
  <si>
    <t>Terry gold</t>
  </si>
  <si>
    <t>Bal</t>
  </si>
  <si>
    <t>Fd</t>
  </si>
  <si>
    <t>Feb</t>
  </si>
  <si>
    <t>tax ret</t>
  </si>
  <si>
    <t>Loan Trans</t>
  </si>
  <si>
    <t>May</t>
  </si>
  <si>
    <t>Aug</t>
  </si>
  <si>
    <t>ssd</t>
  </si>
  <si>
    <t>Sep</t>
  </si>
  <si>
    <t>Oct</t>
  </si>
  <si>
    <t>Dec</t>
  </si>
  <si>
    <t>Sundar exp</t>
  </si>
  <si>
    <t>Terry e</t>
  </si>
  <si>
    <t>Tejas</t>
  </si>
  <si>
    <t>TV EB Maintenance</t>
  </si>
  <si>
    <t>Year 1</t>
  </si>
  <si>
    <t>Gold</t>
  </si>
  <si>
    <t>monthly</t>
  </si>
  <si>
    <t>ppf</t>
  </si>
  <si>
    <t>mom gold</t>
  </si>
  <si>
    <t>Lic</t>
  </si>
  <si>
    <t>Tax india</t>
  </si>
  <si>
    <t>Jan</t>
  </si>
  <si>
    <t>Tax instal</t>
  </si>
  <si>
    <t>koodo</t>
  </si>
  <si>
    <t>fido</t>
  </si>
  <si>
    <t>east link</t>
  </si>
  <si>
    <t>power</t>
  </si>
  <si>
    <t>Emi laptop</t>
  </si>
  <si>
    <t>Emi india</t>
  </si>
  <si>
    <t>Salary</t>
  </si>
  <si>
    <t>Profit</t>
  </si>
  <si>
    <t>Dollarama</t>
  </si>
  <si>
    <t>Avantel</t>
  </si>
  <si>
    <t>Terry Transfer</t>
  </si>
  <si>
    <t>Balance</t>
  </si>
  <si>
    <t>22/05/2024</t>
  </si>
  <si>
    <t>08/06/2024</t>
  </si>
  <si>
    <t>24/06/2024</t>
  </si>
  <si>
    <t>10/07/2024</t>
  </si>
  <si>
    <t>02/07/2024</t>
  </si>
  <si>
    <t>07/30/2024</t>
  </si>
  <si>
    <t>Initial investment</t>
  </si>
  <si>
    <t>Loss</t>
  </si>
  <si>
    <t>RVNL</t>
  </si>
  <si>
    <t>PARAS</t>
  </si>
  <si>
    <t>?? #CASTROLIND (4% ??)</t>
  </si>
  <si>
    <t>?? #TRIDENT (4% ??)</t>
  </si>
  <si>
    <t>?? #RPSGVENT (4% ??)</t>
  </si>
  <si>
    <t>?? #SWARAJENG (4% ??)</t>
  </si>
  <si>
    <t>?? #Avantel (4% ??)</t>
  </si>
  <si>
    <t>?? #GULFOILLUB (4% ??)</t>
  </si>
  <si>
    <t>?? #DBREALTY (4% ??)</t>
  </si>
  <si>
    <t>?? #AARTIPHARM (4% ??)</t>
  </si>
  <si>
    <t>?? #RTNINDIA (3% ??)</t>
  </si>
  <si>
    <t>?? #INOXGREEN (3% ??)</t>
  </si>
  <si>
    <t>?? #ZENTEC (3% ??)</t>
  </si>
  <si>
    <t>?? #KNRCON (3% ??)</t>
  </si>
  <si>
    <t>?? #BAJEL (3% ??)</t>
  </si>
  <si>
    <t>?? #SHAILY (3% ??)</t>
  </si>
  <si>
    <t>?? #Balmer Law. Inv. (3% ??)</t>
  </si>
  <si>
    <t>?? #IFBIND (3% ??)</t>
  </si>
  <si>
    <t>?? #ELECTCAST (3% ??)</t>
  </si>
  <si>
    <t>?? #GREENPOWER (3% ??)</t>
  </si>
  <si>
    <t>?? #SANDUMA (3% ??)</t>
  </si>
  <si>
    <t>?? #PFIZER (3% ??)</t>
  </si>
  <si>
    <t>?? #MARKSANS (3% ??)</t>
  </si>
  <si>
    <t>?? #GHCL (3% ??)</t>
  </si>
  <si>
    <t>?? #HINDPETRO (3% ??)</t>
  </si>
  <si>
    <t>?? #NEULANDLAB (3% ??)</t>
  </si>
  <si>
    <t>?? #MAZDOCK (3% ??)</t>
  </si>
  <si>
    <t>?? #KANSAINER (3% ??)</t>
  </si>
  <si>
    <t>?? #ITDCEM (3% ??)</t>
  </si>
  <si>
    <t>?? #GSPL (3% ??)</t>
  </si>
  <si>
    <t>?? #BHAGCHEM (3% ??)</t>
  </si>
  <si>
    <t>?? #VENKEYS (3% ??)</t>
  </si>
  <si>
    <t>?? #UFLEX (3% ??)</t>
  </si>
  <si>
    <t>?? #IOC (3% ??)</t>
  </si>
  <si>
    <t>?? #MGL (3% ??)</t>
  </si>
  <si>
    <t>?? #SUNCLAY (3% ??)</t>
  </si>
  <si>
    <t>?? #TATAMOTORS (3% ??)</t>
  </si>
  <si>
    <t>?? #GENUSPOWER (3% ??)</t>
  </si>
  <si>
    <t>?? #WOCKPHARMA (3% ??)</t>
  </si>
  <si>
    <t>?? #GMDCLTD (3% ??)</t>
  </si>
  <si>
    <t>?? #INDOSTAR (3% ??)</t>
  </si>
  <si>
    <t>?? #Waaree Renewab. (3% ??)</t>
  </si>
  <si>
    <t>?? #TIDEWATER (3% ??)</t>
  </si>
  <si>
    <t>?? #INDOTECH (3% ??)</t>
  </si>
  <si>
    <t>?? #SMSPHARMA (3% ??)</t>
  </si>
  <si>
    <t>?? #TATACOMM (3% ??)</t>
  </si>
  <si>
    <t>?? #RAMCOIND (3% ??)</t>
  </si>
  <si>
    <t>?? #SHOPERSTOP (3% ??)</t>
  </si>
  <si>
    <t>?? #CAMPUS (3% ??)</t>
  </si>
  <si>
    <t>?? #SUNTV (3% ??)</t>
  </si>
  <si>
    <t>?? #CLEAN (3% ??)</t>
  </si>
  <si>
    <t>?? #BLUEJET (3% ??)</t>
  </si>
  <si>
    <t>idbi emi</t>
  </si>
  <si>
    <t>Mar</t>
  </si>
  <si>
    <t>Trip transfer</t>
  </si>
  <si>
    <t>Apr</t>
  </si>
  <si>
    <t>Jun</t>
  </si>
  <si>
    <t>Jul</t>
  </si>
  <si>
    <t>GST/CRR</t>
  </si>
  <si>
    <t>ITR</t>
  </si>
  <si>
    <t>Current</t>
  </si>
  <si>
    <t>India Exp</t>
  </si>
  <si>
    <t>Bonus</t>
  </si>
  <si>
    <t>Expenses Canada</t>
  </si>
  <si>
    <t>Coal India</t>
  </si>
  <si>
    <t>Share value</t>
  </si>
  <si>
    <t>Share</t>
  </si>
  <si>
    <t>Canarabank</t>
  </si>
  <si>
    <t>2022 price</t>
  </si>
  <si>
    <t>2023 price</t>
  </si>
  <si>
    <t>ONGC</t>
  </si>
  <si>
    <t>Marksans</t>
  </si>
  <si>
    <t>BPCL</t>
  </si>
  <si>
    <t>BEL</t>
  </si>
  <si>
    <t>Loan cust id</t>
  </si>
  <si>
    <t>idbi loan bal</t>
  </si>
  <si>
    <t>Prime</t>
  </si>
  <si>
    <t>Loan</t>
  </si>
  <si>
    <t>Zomato</t>
  </si>
  <si>
    <t>Current value</t>
  </si>
  <si>
    <t>Inv Shares</t>
  </si>
  <si>
    <t>2025 Price</t>
  </si>
  <si>
    <t>2024 price</t>
  </si>
  <si>
    <t>CPP pension</t>
  </si>
  <si>
    <t>EI</t>
  </si>
  <si>
    <t>Pre-closure</t>
  </si>
  <si>
    <t>Transfer HDFC</t>
  </si>
  <si>
    <t>Balance icici</t>
  </si>
  <si>
    <t>HDFC FD</t>
  </si>
  <si>
    <t>service charge</t>
  </si>
  <si>
    <t>Expected Jun</t>
  </si>
  <si>
    <t>Total fd</t>
  </si>
  <si>
    <t>Bus ticket</t>
  </si>
  <si>
    <t>ICICI Fd</t>
  </si>
  <si>
    <t>Double bedroom</t>
  </si>
  <si>
    <t>New tenant</t>
  </si>
  <si>
    <t>Advance Double bedroom</t>
  </si>
  <si>
    <t>Rent Deducted</t>
  </si>
  <si>
    <t>Advance returned (Double bedroom</t>
  </si>
  <si>
    <t>Repair Water</t>
  </si>
  <si>
    <t>Usha paid (Single bedroom)</t>
  </si>
  <si>
    <t>Pay to Usha</t>
  </si>
  <si>
    <t>Maintanance (Mar &amp; Apr)</t>
  </si>
  <si>
    <t>Pay advance</t>
  </si>
  <si>
    <t>Cash in hand (To be paid to Usha)</t>
  </si>
  <si>
    <t>Cash in hand FINAL</t>
  </si>
  <si>
    <t>Yearly</t>
  </si>
  <si>
    <t>Per pay check</t>
  </si>
  <si>
    <t>Deductions</t>
  </si>
  <si>
    <t>Expected FD</t>
  </si>
  <si>
    <t>Expected July</t>
  </si>
  <si>
    <t>Aqua guard</t>
  </si>
  <si>
    <t>Microwave</t>
  </si>
  <si>
    <t>Heater (2)</t>
  </si>
  <si>
    <t>Heater (1)</t>
  </si>
  <si>
    <t>Axis bank loan</t>
  </si>
  <si>
    <t>Home Loan</t>
  </si>
  <si>
    <t>Overall loan</t>
  </si>
  <si>
    <t>Expected Aug</t>
  </si>
  <si>
    <t>Expected Sep</t>
  </si>
  <si>
    <t>Pending House</t>
  </si>
  <si>
    <t>86 x 2170</t>
  </si>
  <si>
    <t>Total in hand</t>
  </si>
  <si>
    <t>Total Exp</t>
  </si>
  <si>
    <t>Paid</t>
  </si>
  <si>
    <t>Modular Kitchen</t>
  </si>
  <si>
    <t>IDBI EMI</t>
  </si>
  <si>
    <t>AXIS EMI</t>
  </si>
  <si>
    <t>Total EMI</t>
  </si>
  <si>
    <t>Cash Usha</t>
  </si>
  <si>
    <t>1st floor dem</t>
  </si>
  <si>
    <t>Aqua/Heat/Micr</t>
  </si>
  <si>
    <t>Built House</t>
  </si>
  <si>
    <t>PR cost</t>
  </si>
  <si>
    <t>Self</t>
  </si>
  <si>
    <t>Spouse</t>
  </si>
  <si>
    <t>Child</t>
  </si>
  <si>
    <t>Flight Travel</t>
  </si>
  <si>
    <t>3 years</t>
  </si>
  <si>
    <t>PR</t>
  </si>
  <si>
    <t>Down pay NW</t>
  </si>
  <si>
    <t>Gold Savings</t>
  </si>
  <si>
    <t>July</t>
  </si>
  <si>
    <t>CCB</t>
  </si>
  <si>
    <t>Pending Jun 30</t>
  </si>
  <si>
    <t>Weight</t>
  </si>
  <si>
    <t>Week 1</t>
  </si>
  <si>
    <t>Week 2</t>
  </si>
  <si>
    <t>Week 3</t>
  </si>
  <si>
    <t>Week 4</t>
  </si>
  <si>
    <t>Week</t>
  </si>
  <si>
    <t>Date</t>
  </si>
  <si>
    <t>Lost weight</t>
  </si>
  <si>
    <t xml:space="preserve">Savings a/c </t>
  </si>
  <si>
    <t>Expenses USA</t>
  </si>
  <si>
    <t xml:space="preserve">USA </t>
  </si>
  <si>
    <t>Week 5</t>
  </si>
  <si>
    <t>ccb</t>
  </si>
  <si>
    <t>Savings CIBC</t>
  </si>
  <si>
    <t>GT</t>
  </si>
  <si>
    <t>Atlantic</t>
  </si>
  <si>
    <t>Curd</t>
  </si>
  <si>
    <t>Milk</t>
  </si>
  <si>
    <t>Mushroom</t>
  </si>
  <si>
    <t>banana</t>
  </si>
  <si>
    <t>Eggs</t>
  </si>
  <si>
    <t>eggs</t>
  </si>
  <si>
    <t>Bread</t>
  </si>
  <si>
    <t>cabbage</t>
  </si>
  <si>
    <t>Orange</t>
  </si>
  <si>
    <t>Apple</t>
  </si>
  <si>
    <t>Chicken</t>
  </si>
  <si>
    <t>delivery</t>
  </si>
  <si>
    <t>Canada Entry</t>
  </si>
  <si>
    <t>Current Date</t>
  </si>
  <si>
    <t>End Date Visa</t>
  </si>
  <si>
    <t>Days</t>
  </si>
  <si>
    <t>Work Permit expiry</t>
  </si>
  <si>
    <t>Extension</t>
  </si>
  <si>
    <t>L1B req</t>
  </si>
  <si>
    <t>Total Days</t>
  </si>
  <si>
    <t>Week 6</t>
  </si>
  <si>
    <t>Week 7</t>
  </si>
  <si>
    <t>Week 8</t>
  </si>
  <si>
    <t>Terris</t>
  </si>
  <si>
    <t>NSNP</t>
  </si>
  <si>
    <t>Application Submitted date</t>
  </si>
  <si>
    <t>Receipt date</t>
  </si>
  <si>
    <t>Days lapsed</t>
  </si>
  <si>
    <t>Minioxidil</t>
  </si>
  <si>
    <t>Dermaroller</t>
  </si>
  <si>
    <t>oil</t>
  </si>
  <si>
    <t>Stress &lt;</t>
  </si>
  <si>
    <t>multivitamin</t>
  </si>
  <si>
    <t>Green</t>
  </si>
  <si>
    <t>Pumpkin seeds</t>
  </si>
  <si>
    <t>Basil seeds</t>
  </si>
  <si>
    <t>Protein - Egg</t>
  </si>
  <si>
    <t>Protein - Chicken</t>
  </si>
  <si>
    <t>Protein - Mushroom</t>
  </si>
  <si>
    <t>Weightloss</t>
  </si>
  <si>
    <t>HIKE</t>
  </si>
  <si>
    <t>Coursera</t>
  </si>
  <si>
    <t>After Jan</t>
  </si>
  <si>
    <t>Expected Oct</t>
  </si>
  <si>
    <t>CPP2</t>
  </si>
  <si>
    <t>Project Management Principles and Practices Specialization</t>
  </si>
  <si>
    <t>PMP</t>
  </si>
  <si>
    <t>Category</t>
  </si>
  <si>
    <t>Course name</t>
  </si>
  <si>
    <t>PMI-PMP® Certification Training Course Specialization</t>
  </si>
  <si>
    <t>PMP Exam Prep Certification Training Specialization</t>
  </si>
  <si>
    <t>Certified Associate in Project Management (CAPM) Specialization</t>
  </si>
  <si>
    <t>S.No</t>
  </si>
  <si>
    <t>Status</t>
  </si>
  <si>
    <t>Not Started</t>
  </si>
  <si>
    <t>IBM Generative AI Engineering</t>
  </si>
  <si>
    <t>AI</t>
  </si>
  <si>
    <t>Priority</t>
  </si>
  <si>
    <t>BOSS</t>
  </si>
  <si>
    <t>In testing</t>
  </si>
  <si>
    <t>Yet to receive</t>
  </si>
  <si>
    <t>ROSE</t>
  </si>
  <si>
    <t>Week 9</t>
  </si>
  <si>
    <t>minioxidil</t>
  </si>
  <si>
    <t>finasteride</t>
  </si>
  <si>
    <t>costco</t>
  </si>
  <si>
    <t>red chillies</t>
  </si>
  <si>
    <t>Transfer Icici</t>
  </si>
  <si>
    <t>Week 10</t>
  </si>
  <si>
    <t>Medical</t>
  </si>
  <si>
    <t>Biometrics</t>
  </si>
  <si>
    <t>Consulant</t>
  </si>
  <si>
    <t>AIP</t>
  </si>
  <si>
    <t>Application submitted date</t>
  </si>
  <si>
    <t>Endorsement</t>
  </si>
  <si>
    <t>PR submitted</t>
  </si>
  <si>
    <t>Visa end date</t>
  </si>
  <si>
    <t>Days remaining from Visa</t>
  </si>
  <si>
    <t>WP valid till</t>
  </si>
  <si>
    <t>nsnp</t>
  </si>
  <si>
    <t>Nomination</t>
  </si>
  <si>
    <t>dates</t>
  </si>
  <si>
    <t>raisin</t>
  </si>
  <si>
    <t>sunflower seeds</t>
  </si>
  <si>
    <t>Finasteride</t>
  </si>
  <si>
    <t>Completed</t>
  </si>
  <si>
    <t>Work permit /BOWP</t>
  </si>
  <si>
    <t>Months elapsed</t>
  </si>
  <si>
    <t>Payment Sep 18</t>
  </si>
  <si>
    <t>Fan 1</t>
  </si>
  <si>
    <t>Fan 2</t>
  </si>
  <si>
    <t>Fan 3</t>
  </si>
  <si>
    <t>Fan 4</t>
  </si>
  <si>
    <t>AOR</t>
  </si>
  <si>
    <t>Fin</t>
  </si>
  <si>
    <t>Costco</t>
  </si>
  <si>
    <t>Rogaine</t>
  </si>
  <si>
    <t>Maesthri</t>
  </si>
  <si>
    <t>Carpenter</t>
  </si>
  <si>
    <t>House warm</t>
  </si>
  <si>
    <t>Monthly Expense</t>
  </si>
  <si>
    <t>Oct loan bal</t>
  </si>
  <si>
    <t>Redchillies</t>
  </si>
  <si>
    <t>Days left from end to pr</t>
  </si>
  <si>
    <t>Haircut</t>
  </si>
  <si>
    <t>Abin</t>
  </si>
  <si>
    <t>Michail</t>
  </si>
  <si>
    <t>Leo</t>
  </si>
  <si>
    <t>Velmurugan</t>
  </si>
  <si>
    <t>insta subscr</t>
  </si>
  <si>
    <t>PR Fees</t>
  </si>
  <si>
    <t>Dependant</t>
  </si>
  <si>
    <t>Fight ticket</t>
  </si>
  <si>
    <t>Loan actual</t>
  </si>
  <si>
    <t>INR</t>
  </si>
  <si>
    <t>Tax refund</t>
  </si>
  <si>
    <t>Icici</t>
  </si>
  <si>
    <t>Jan loan</t>
  </si>
  <si>
    <t>PR cash in hand</t>
  </si>
  <si>
    <t>HDFC</t>
  </si>
  <si>
    <t>Individual house tenant</t>
  </si>
  <si>
    <t>Consultation</t>
  </si>
  <si>
    <t>PR consult</t>
  </si>
  <si>
    <t>Work permit</t>
  </si>
  <si>
    <t>Travel</t>
  </si>
  <si>
    <t>Credit card</t>
  </si>
  <si>
    <t>Feb loan</t>
  </si>
  <si>
    <t>Transfer india</t>
  </si>
  <si>
    <t>Discount</t>
  </si>
  <si>
    <t>OOTP</t>
  </si>
  <si>
    <t>Athena</t>
  </si>
  <si>
    <t>TNL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</si>
</sst>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([$INR]\ * #,##0_);_([$INR]\ * \(#,##0\);_([$INR]\ * &quot;-&quot;??_);_(@_)"/>
    <numFmt numFmtId="166" formatCode="0.0"/>
    <numFmt numFmtId="167" formatCode="_ [$₹-439]* #,##0.00_ ;_ [$₹-439]* \-#,##0.00_ ;_ [$₹-439]* &quot;-&quot;??_ ;_ @_ "/>
    <numFmt numFmtId="168" formatCode="_(&quot;$&quot;* #,##0_);_(&quot;$&quot;* \(#,##0\);_(&quot;$&quot;* &quot;-&quot;??_);_(@_)"/>
    <numFmt numFmtId="169" formatCode="_ [$₹-439]* #,##0_ ;_ [$₹-439]* \-#,##0_ ;_ [$₹-439]* &quot;-&quot;??_ ;_ @_ "/>
    <numFmt numFmtId="170" formatCode="_-&quot;$&quot;* #,##0_-;\-&quot;$&quot;* #,##0_-;_-&quot;$&quot;* &quot;-&quot;??_-;_-@_-"/>
    <numFmt numFmtId="171" formatCode="[$₹-4009]\ #,##0"/>
    <numFmt numFmtId="172" formatCode="[$₹-4009]\ #,##0.00"/>
    <numFmt numFmtId="173" formatCode="[$-F800]dddd\,\ mmmm\ dd\,\ yyyy"/>
    <numFmt numFmtId="174" formatCode="[$-1009]mmmm\ d\,\ 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5" borderId="0" xfId="0" applyFill="1"/>
    <xf numFmtId="164" fontId="0" fillId="4" borderId="1" xfId="1" applyFont="1" applyFill="1" applyBorder="1"/>
    <xf numFmtId="164" fontId="0" fillId="0" borderId="0" xfId="1" applyFont="1"/>
    <xf numFmtId="165" fontId="0" fillId="0" borderId="0" xfId="0" applyNumberFormat="1"/>
    <xf numFmtId="0" fontId="0" fillId="5" borderId="1" xfId="0" applyFill="1" applyBorder="1"/>
    <xf numFmtId="165" fontId="0" fillId="5" borderId="1" xfId="0" applyNumberFormat="1" applyFill="1" applyBorder="1"/>
    <xf numFmtId="0" fontId="0" fillId="6" borderId="0" xfId="0" applyFill="1"/>
    <xf numFmtId="16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167" fontId="0" fillId="6" borderId="0" xfId="0" applyNumberFormat="1" applyFill="1"/>
    <xf numFmtId="168" fontId="0" fillId="0" borderId="0" xfId="1" applyNumberFormat="1" applyFont="1" applyFill="1" applyBorder="1"/>
    <xf numFmtId="169" fontId="0" fillId="0" borderId="0" xfId="0" applyNumberFormat="1"/>
    <xf numFmtId="167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8" borderId="0" xfId="0" applyFill="1"/>
    <xf numFmtId="0" fontId="1" fillId="0" borderId="0" xfId="0" applyFont="1"/>
    <xf numFmtId="0" fontId="0" fillId="0" borderId="2" xfId="0" applyBorder="1" applyAlignment="1">
      <alignment horizontal="center"/>
    </xf>
    <xf numFmtId="168" fontId="0" fillId="0" borderId="0" xfId="0" applyNumberFormat="1"/>
    <xf numFmtId="169" fontId="1" fillId="0" borderId="0" xfId="0" applyNumberFormat="1" applyFont="1"/>
    <xf numFmtId="44" fontId="0" fillId="0" borderId="0" xfId="0" applyNumberFormat="1"/>
    <xf numFmtId="0" fontId="0" fillId="3" borderId="0" xfId="0" applyFill="1"/>
    <xf numFmtId="16" fontId="0" fillId="0" borderId="0" xfId="0" applyNumberFormat="1" applyAlignment="1">
      <alignment horizontal="left"/>
    </xf>
    <xf numFmtId="169" fontId="3" fillId="0" borderId="0" xfId="0" applyNumberFormat="1" applyFont="1"/>
    <xf numFmtId="1" fontId="0" fillId="0" borderId="1" xfId="0" applyNumberFormat="1" applyBorder="1"/>
    <xf numFmtId="16" fontId="1" fillId="0" borderId="0" xfId="0" applyNumberFormat="1" applyFont="1"/>
    <xf numFmtId="170" fontId="0" fillId="0" borderId="0" xfId="0" applyNumberFormat="1" applyAlignment="1">
      <alignment horizontal="right"/>
    </xf>
    <xf numFmtId="16" fontId="0" fillId="0" borderId="0" xfId="0" applyNumberFormat="1" applyAlignment="1">
      <alignment horizontal="center"/>
    </xf>
    <xf numFmtId="0" fontId="0" fillId="10" borderId="0" xfId="0" applyFill="1"/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169" fontId="1" fillId="0" borderId="1" xfId="0" applyNumberFormat="1" applyFont="1" applyBorder="1"/>
    <xf numFmtId="169" fontId="0" fillId="0" borderId="1" xfId="0" applyNumberFormat="1" applyBorder="1"/>
    <xf numFmtId="0" fontId="0" fillId="0" borderId="0" xfId="0" applyAlignment="1">
      <alignment horizontal="right"/>
    </xf>
    <xf numFmtId="169" fontId="4" fillId="0" borderId="1" xfId="0" applyNumberFormat="1" applyFont="1" applyBorder="1"/>
    <xf numFmtId="169" fontId="0" fillId="7" borderId="0" xfId="0" applyNumberFormat="1" applyFill="1" applyAlignment="1">
      <alignment horizontal="right"/>
    </xf>
    <xf numFmtId="169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" fontId="0" fillId="0" borderId="0" xfId="0" applyNumberFormat="1" applyAlignment="1">
      <alignment horizontal="right"/>
    </xf>
    <xf numFmtId="0" fontId="0" fillId="3" borderId="0" xfId="0" applyFill="1" applyAlignment="1">
      <alignment horizontal="right"/>
    </xf>
    <xf numFmtId="171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72" fontId="0" fillId="0" borderId="0" xfId="0" applyNumberFormat="1"/>
    <xf numFmtId="0" fontId="0" fillId="8" borderId="1" xfId="0" applyFill="1" applyBorder="1" applyAlignment="1">
      <alignment horizontal="center"/>
    </xf>
    <xf numFmtId="171" fontId="0" fillId="0" borderId="0" xfId="0" applyNumberFormat="1"/>
    <xf numFmtId="0" fontId="0" fillId="5" borderId="1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9" fontId="0" fillId="0" borderId="0" xfId="0" applyNumberForma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2" borderId="9" xfId="0" applyFill="1" applyBorder="1" applyAlignment="1">
      <alignment horizontal="center"/>
    </xf>
    <xf numFmtId="0" fontId="0" fillId="0" borderId="9" xfId="0" applyBorder="1"/>
    <xf numFmtId="16" fontId="0" fillId="0" borderId="9" xfId="0" applyNumberForma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right"/>
    </xf>
    <xf numFmtId="0" fontId="0" fillId="11" borderId="10" xfId="0" applyFill="1" applyBorder="1" applyAlignment="1">
      <alignment horizontal="right"/>
    </xf>
    <xf numFmtId="0" fontId="0" fillId="8" borderId="2" xfId="0" applyFill="1" applyBorder="1" applyAlignment="1">
      <alignment horizontal="center"/>
    </xf>
    <xf numFmtId="169" fontId="0" fillId="8" borderId="1" xfId="0" applyNumberFormat="1" applyFill="1" applyBorder="1"/>
    <xf numFmtId="169" fontId="0" fillId="6" borderId="1" xfId="0" applyNumberFormat="1" applyFill="1" applyBorder="1"/>
    <xf numFmtId="0" fontId="0" fillId="12" borderId="1" xfId="0" applyFill="1" applyBorder="1"/>
    <xf numFmtId="0" fontId="1" fillId="0" borderId="1" xfId="0" applyFont="1" applyBorder="1"/>
    <xf numFmtId="2" fontId="0" fillId="0" borderId="0" xfId="0" applyNumberFormat="1"/>
    <xf numFmtId="166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169" fontId="1" fillId="8" borderId="1" xfId="0" applyNumberFormat="1" applyFont="1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3" fontId="0" fillId="0" borderId="1" xfId="0" applyNumberFormat="1" applyBorder="1"/>
    <xf numFmtId="0" fontId="0" fillId="8" borderId="1" xfId="0" applyFill="1" applyBorder="1"/>
    <xf numFmtId="169" fontId="0" fillId="13" borderId="1" xfId="0" applyNumberFormat="1" applyFill="1" applyBorder="1"/>
    <xf numFmtId="169" fontId="0" fillId="13" borderId="1" xfId="0" applyNumberFormat="1" applyFill="1" applyBorder="1" applyAlignment="1">
      <alignment horizontal="right"/>
    </xf>
    <xf numFmtId="169" fontId="1" fillId="13" borderId="1" xfId="0" applyNumberFormat="1" applyFont="1" applyFill="1" applyBorder="1" applyAlignment="1">
      <alignment horizontal="right"/>
    </xf>
    <xf numFmtId="169" fontId="0" fillId="13" borderId="1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14" borderId="0" xfId="0" applyFill="1" applyAlignment="1">
      <alignment horizontal="center"/>
    </xf>
    <xf numFmtId="173" fontId="0" fillId="0" borderId="1" xfId="0" applyNumberFormat="1" applyBorder="1" applyAlignment="1">
      <alignment horizontal="center"/>
    </xf>
    <xf numFmtId="0" fontId="0" fillId="15" borderId="1" xfId="0" applyFill="1" applyBorder="1" applyAlignment="1">
      <alignment horizontal="center"/>
    </xf>
    <xf numFmtId="169" fontId="0" fillId="15" borderId="1" xfId="0" applyNumberFormat="1" applyFill="1" applyBorder="1"/>
    <xf numFmtId="174" fontId="0" fillId="0" borderId="1" xfId="0" applyNumberFormat="1" applyBorder="1" applyAlignment="1">
      <alignment horizontal="center"/>
    </xf>
    <xf numFmtId="169" fontId="1" fillId="8" borderId="1" xfId="0" applyNumberFormat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16" borderId="1" xfId="0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3" fontId="0" fillId="17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left"/>
    </xf>
    <xf numFmtId="0" fontId="0" fillId="0" borderId="14" xfId="0" applyBorder="1" applyAlignment="1">
      <alignment horizontal="center"/>
    </xf>
    <xf numFmtId="169" fontId="0" fillId="8" borderId="1" xfId="0" applyNumberFormat="1" applyFill="1" applyBorder="1" applyAlignment="1">
      <alignment horizontal="right"/>
    </xf>
    <xf numFmtId="169" fontId="0" fillId="13" borderId="3" xfId="0" applyNumberFormat="1" applyFill="1" applyBorder="1" applyAlignment="1">
      <alignment horizontal="right"/>
    </xf>
    <xf numFmtId="169" fontId="1" fillId="13" borderId="3" xfId="0" applyNumberFormat="1" applyFont="1" applyFill="1" applyBorder="1" applyAlignment="1">
      <alignment horizontal="right"/>
    </xf>
    <xf numFmtId="0" fontId="0" fillId="0" borderId="3" xfId="0" applyBorder="1"/>
    <xf numFmtId="169" fontId="1" fillId="0" borderId="3" xfId="0" applyNumberFormat="1" applyFont="1" applyBorder="1"/>
    <xf numFmtId="169" fontId="1" fillId="13" borderId="1" xfId="0" applyNumberFormat="1" applyFont="1" applyFill="1" applyBorder="1"/>
    <xf numFmtId="164" fontId="0" fillId="0" borderId="1" xfId="1" applyFont="1" applyBorder="1"/>
    <xf numFmtId="168" fontId="0" fillId="0" borderId="1" xfId="1" applyNumberFormat="1" applyFont="1" applyBorder="1"/>
    <xf numFmtId="168" fontId="0" fillId="0" borderId="1" xfId="0" applyNumberFormat="1" applyBorder="1"/>
    <xf numFmtId="169" fontId="0" fillId="8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69" fontId="6" fillId="13" borderId="1" xfId="0" applyNumberFormat="1" applyFont="1" applyFill="1" applyBorder="1" applyAlignment="1">
      <alignment horizontal="center"/>
    </xf>
    <xf numFmtId="169" fontId="0" fillId="18" borderId="1" xfId="0" applyNumberFormat="1" applyFill="1" applyBorder="1"/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/>
    <xf numFmtId="0" fontId="0" fillId="0" borderId="2" xfId="0" applyBorder="1"/>
    <xf numFmtId="168" fontId="0" fillId="0" borderId="3" xfId="1" applyNumberFormat="1" applyFont="1" applyBorder="1"/>
    <xf numFmtId="169" fontId="1" fillId="0" borderId="1" xfId="0" applyNumberFormat="1" applyFont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DBFA-61C6-47E5-B573-8F96EA18A4AD}">
  <dimension ref="E3:O21"/>
  <sheetViews>
    <sheetView workbookViewId="0">
      <selection activeCell="J16" sqref="J16"/>
    </sheetView>
  </sheetViews>
  <sheetFormatPr defaultRowHeight="14.4" x14ac:dyDescent="0.3"/>
  <cols>
    <col min="5" max="5" width="19.44140625" bestFit="1" customWidth="1"/>
    <col min="7" max="7" width="15.33203125" customWidth="1"/>
    <col min="11" max="11" width="30.5546875" bestFit="1" customWidth="1"/>
    <col min="14" max="14" width="21.88671875" bestFit="1" customWidth="1"/>
  </cols>
  <sheetData>
    <row r="3" spans="5:15" x14ac:dyDescent="0.3">
      <c r="H3" s="1" t="s">
        <v>26</v>
      </c>
    </row>
    <row r="4" spans="5:15" x14ac:dyDescent="0.3">
      <c r="E4" s="4" t="s">
        <v>5</v>
      </c>
      <c r="F4" s="4" t="s">
        <v>6</v>
      </c>
      <c r="G4" s="4" t="s">
        <v>7</v>
      </c>
      <c r="H4" s="1">
        <v>4682</v>
      </c>
      <c r="K4" s="126" t="s">
        <v>192</v>
      </c>
      <c r="L4" s="127"/>
      <c r="N4" s="126" t="s">
        <v>193</v>
      </c>
      <c r="O4" s="127"/>
    </row>
    <row r="5" spans="5:15" x14ac:dyDescent="0.3">
      <c r="E5" s="2" t="s">
        <v>0</v>
      </c>
      <c r="F5" s="6">
        <v>1200</v>
      </c>
      <c r="G5" s="3">
        <v>1360.3874092009685</v>
      </c>
      <c r="H5" s="8">
        <f>H4*F5/F10</f>
        <v>1360.3874092009685</v>
      </c>
      <c r="K5" s="2" t="s">
        <v>194</v>
      </c>
      <c r="L5" s="44">
        <v>50000</v>
      </c>
      <c r="N5" s="2"/>
      <c r="O5" s="2"/>
    </row>
    <row r="6" spans="5:15" x14ac:dyDescent="0.3">
      <c r="E6" s="2" t="s">
        <v>1</v>
      </c>
      <c r="F6" s="6">
        <v>1000</v>
      </c>
      <c r="G6" s="3">
        <v>1133.6561743341404</v>
      </c>
      <c r="H6" s="8">
        <f>(H4*F6)/F10</f>
        <v>1133.6561743341404</v>
      </c>
      <c r="K6" s="2" t="s">
        <v>195</v>
      </c>
      <c r="L6" s="44">
        <v>-10000</v>
      </c>
      <c r="N6" s="2" t="s">
        <v>30</v>
      </c>
      <c r="O6" s="44">
        <v>50000</v>
      </c>
    </row>
    <row r="7" spans="5:15" x14ac:dyDescent="0.3">
      <c r="E7" s="2" t="s">
        <v>2</v>
      </c>
      <c r="F7" s="6">
        <v>1327</v>
      </c>
      <c r="G7" s="3">
        <v>1504.3617433414045</v>
      </c>
      <c r="H7" s="8">
        <f>H4*F7/F10</f>
        <v>1504.3617433414045</v>
      </c>
      <c r="K7" s="2" t="s">
        <v>196</v>
      </c>
      <c r="L7" s="44">
        <v>-20000</v>
      </c>
      <c r="N7" s="2" t="s">
        <v>197</v>
      </c>
      <c r="O7" s="44">
        <v>-7500</v>
      </c>
    </row>
    <row r="8" spans="5:15" x14ac:dyDescent="0.3">
      <c r="E8" s="2"/>
      <c r="F8" s="6"/>
      <c r="G8" s="3"/>
      <c r="H8" s="8"/>
      <c r="K8" s="75" t="s">
        <v>198</v>
      </c>
      <c r="L8" s="44">
        <v>-25000</v>
      </c>
      <c r="N8" s="2" t="s">
        <v>199</v>
      </c>
      <c r="O8" s="44">
        <v>-5000</v>
      </c>
    </row>
    <row r="9" spans="5:15" x14ac:dyDescent="0.3">
      <c r="E9" s="2" t="s">
        <v>4</v>
      </c>
      <c r="F9" s="6">
        <v>603</v>
      </c>
      <c r="G9" s="3">
        <v>683.5946731234867</v>
      </c>
      <c r="H9" s="8">
        <f>H4*F9/F10</f>
        <v>683.5946731234867</v>
      </c>
      <c r="K9" s="2"/>
      <c r="L9" s="44"/>
      <c r="N9" s="2" t="s">
        <v>200</v>
      </c>
      <c r="O9" s="44">
        <v>-1297</v>
      </c>
    </row>
    <row r="10" spans="5:15" x14ac:dyDescent="0.3">
      <c r="E10" s="5" t="s">
        <v>8</v>
      </c>
      <c r="F10" s="7">
        <f>SUM(F5:F9)</f>
        <v>4130</v>
      </c>
      <c r="G10" s="5">
        <f>SUM(G5:G9)</f>
        <v>4682</v>
      </c>
      <c r="K10" s="2"/>
      <c r="L10" s="44"/>
      <c r="N10" s="2" t="s">
        <v>201</v>
      </c>
      <c r="O10" s="44">
        <v>-17000</v>
      </c>
    </row>
    <row r="11" spans="5:15" x14ac:dyDescent="0.3">
      <c r="K11" s="2"/>
      <c r="L11" s="44"/>
      <c r="N11" s="122" t="s">
        <v>379</v>
      </c>
      <c r="O11" s="44">
        <v>50000</v>
      </c>
    </row>
    <row r="12" spans="5:15" x14ac:dyDescent="0.3">
      <c r="K12" s="2"/>
      <c r="L12" s="44"/>
      <c r="N12" s="2"/>
      <c r="O12" s="44"/>
    </row>
    <row r="13" spans="5:15" x14ac:dyDescent="0.3">
      <c r="K13" s="2"/>
      <c r="L13" s="44"/>
      <c r="N13" s="2"/>
      <c r="O13" s="44"/>
    </row>
    <row r="14" spans="5:15" x14ac:dyDescent="0.3">
      <c r="K14" s="2"/>
      <c r="L14" s="44"/>
      <c r="N14" s="2"/>
      <c r="O14" s="44"/>
    </row>
    <row r="15" spans="5:15" x14ac:dyDescent="0.3">
      <c r="E15" s="4" t="s">
        <v>5</v>
      </c>
      <c r="F15" s="4" t="s">
        <v>6</v>
      </c>
      <c r="G15" s="4" t="s">
        <v>7</v>
      </c>
      <c r="K15" s="2"/>
      <c r="L15" s="44"/>
      <c r="N15" s="2"/>
      <c r="O15" s="44"/>
    </row>
    <row r="16" spans="5:15" x14ac:dyDescent="0.3">
      <c r="E16" s="2" t="s">
        <v>0</v>
      </c>
      <c r="F16" s="6">
        <v>1200</v>
      </c>
      <c r="G16" s="3">
        <v>832.65306122448976</v>
      </c>
      <c r="K16" s="2" t="s">
        <v>202</v>
      </c>
      <c r="L16" s="43">
        <f>SUM(L4:L15)</f>
        <v>-5000</v>
      </c>
      <c r="N16" s="76" t="s">
        <v>203</v>
      </c>
      <c r="O16" s="43">
        <f>SUM(O6:O12)</f>
        <v>69203</v>
      </c>
    </row>
    <row r="17" spans="5:7" x14ac:dyDescent="0.3">
      <c r="E17" s="2" t="s">
        <v>1</v>
      </c>
      <c r="F17" s="6">
        <v>1000</v>
      </c>
      <c r="G17" s="3">
        <v>693.87755102040819</v>
      </c>
    </row>
    <row r="18" spans="5:7" x14ac:dyDescent="0.3">
      <c r="E18" s="2" t="s">
        <v>2</v>
      </c>
      <c r="F18" s="6">
        <v>1327</v>
      </c>
      <c r="G18" s="3">
        <v>920.77551020408168</v>
      </c>
    </row>
    <row r="19" spans="5:7" x14ac:dyDescent="0.3">
      <c r="E19" s="2" t="s">
        <v>3</v>
      </c>
      <c r="F19" s="6">
        <v>770</v>
      </c>
      <c r="G19" s="3">
        <v>534.28571428571433</v>
      </c>
    </row>
    <row r="20" spans="5:7" x14ac:dyDescent="0.3">
      <c r="E20" s="2" t="s">
        <v>4</v>
      </c>
      <c r="F20" s="6">
        <v>603</v>
      </c>
      <c r="G20" s="3">
        <v>418.40816326530614</v>
      </c>
    </row>
    <row r="21" spans="5:7" x14ac:dyDescent="0.3">
      <c r="E21" s="5" t="s">
        <v>8</v>
      </c>
      <c r="F21" s="7">
        <f>SUM(F16:F20)</f>
        <v>4900</v>
      </c>
      <c r="G21" s="5">
        <f>SUM(G16:G20)</f>
        <v>3399.9999999999995</v>
      </c>
    </row>
  </sheetData>
  <mergeCells count="2">
    <mergeCell ref="K4:L4"/>
    <mergeCell ref="N4:O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4457-60EF-402A-862F-92C6D8A71652}">
  <dimension ref="A1:U156"/>
  <sheetViews>
    <sheetView tabSelected="1" topLeftCell="E52" zoomScale="85" zoomScaleNormal="85" workbookViewId="0">
      <selection activeCell="L79" sqref="L79"/>
    </sheetView>
  </sheetViews>
  <sheetFormatPr defaultRowHeight="14.4" x14ac:dyDescent="0.3"/>
  <cols>
    <col min="2" max="2" width="13.109375" bestFit="1" customWidth="1"/>
    <col min="3" max="3" width="13.44140625" customWidth="1"/>
    <col min="4" max="4" width="11.77734375" customWidth="1"/>
    <col min="5" max="5" width="15.33203125" customWidth="1"/>
    <col min="6" max="6" width="12.109375" customWidth="1"/>
    <col min="7" max="7" width="16.44140625" bestFit="1" customWidth="1"/>
    <col min="8" max="8" width="14.5546875" bestFit="1" customWidth="1"/>
    <col min="10" max="10" width="16.109375" customWidth="1"/>
    <col min="11" max="11" width="15.77734375" customWidth="1"/>
    <col min="12" max="12" width="14.5546875" bestFit="1" customWidth="1"/>
    <col min="13" max="13" width="16.6640625" style="45" customWidth="1"/>
    <col min="14" max="14" width="13.33203125" customWidth="1"/>
    <col min="15" max="15" width="14.33203125" customWidth="1"/>
    <col min="16" max="16" width="13.21875" bestFit="1" customWidth="1"/>
    <col min="17" max="17" width="11.33203125" bestFit="1" customWidth="1"/>
    <col min="18" max="18" width="14.6640625" customWidth="1"/>
    <col min="19" max="19" width="15.44140625" customWidth="1"/>
    <col min="20" max="20" width="12.33203125" customWidth="1"/>
    <col min="21" max="21" width="14.6640625" bestFit="1" customWidth="1"/>
  </cols>
  <sheetData>
    <row r="1" spans="1:19" x14ac:dyDescent="0.3">
      <c r="A1" s="9" t="s">
        <v>17</v>
      </c>
      <c r="B1" t="s">
        <v>9</v>
      </c>
      <c r="C1" s="13">
        <f>100000-28000</f>
        <v>72000</v>
      </c>
      <c r="E1" t="s">
        <v>23</v>
      </c>
      <c r="F1" s="11" t="s">
        <v>18</v>
      </c>
      <c r="G1" t="s">
        <v>15</v>
      </c>
      <c r="H1" s="19">
        <f>C14*62</f>
        <v>112220</v>
      </c>
      <c r="J1" t="s">
        <v>24</v>
      </c>
      <c r="K1" s="13">
        <v>4400</v>
      </c>
      <c r="L1" s="32">
        <f>K1*61</f>
        <v>268400</v>
      </c>
      <c r="M1" s="38">
        <v>70000</v>
      </c>
      <c r="N1" t="s">
        <v>58</v>
      </c>
      <c r="O1" s="23">
        <v>0</v>
      </c>
      <c r="R1" s="28"/>
      <c r="S1" s="28"/>
    </row>
    <row r="2" spans="1:19" x14ac:dyDescent="0.3">
      <c r="L2" s="1"/>
      <c r="M2" s="38">
        <f>M1*30%</f>
        <v>21000</v>
      </c>
      <c r="N2" s="39">
        <v>45245</v>
      </c>
      <c r="O2" s="23">
        <v>60000</v>
      </c>
    </row>
    <row r="3" spans="1:19" x14ac:dyDescent="0.3">
      <c r="B3" s="2" t="s">
        <v>16</v>
      </c>
      <c r="C3" s="20">
        <v>5600</v>
      </c>
      <c r="G3" t="s">
        <v>19</v>
      </c>
      <c r="H3" s="33">
        <v>-64000</v>
      </c>
      <c r="L3" s="1"/>
      <c r="M3" s="38">
        <f>M1-M2</f>
        <v>49000</v>
      </c>
      <c r="N3" s="39">
        <v>45255</v>
      </c>
      <c r="O3" s="23">
        <v>60000</v>
      </c>
    </row>
    <row r="4" spans="1:19" x14ac:dyDescent="0.3">
      <c r="B4" s="2" t="s">
        <v>10</v>
      </c>
      <c r="C4" s="6">
        <v>-2200</v>
      </c>
      <c r="G4" t="s">
        <v>21</v>
      </c>
      <c r="H4" s="33">
        <v>-2000</v>
      </c>
      <c r="J4" s="8"/>
      <c r="L4" s="1"/>
      <c r="N4" s="39">
        <v>45256</v>
      </c>
      <c r="O4" s="23">
        <v>20000</v>
      </c>
    </row>
    <row r="5" spans="1:19" x14ac:dyDescent="0.3">
      <c r="B5" s="2" t="s">
        <v>11</v>
      </c>
      <c r="C5" s="6">
        <v>-50</v>
      </c>
      <c r="G5" t="s">
        <v>22</v>
      </c>
      <c r="H5" s="33">
        <v>-12500</v>
      </c>
      <c r="J5">
        <v>80000</v>
      </c>
      <c r="L5" s="1">
        <v>12500</v>
      </c>
      <c r="M5" s="38">
        <f>M3</f>
        <v>49000</v>
      </c>
      <c r="N5" s="39">
        <v>45261</v>
      </c>
      <c r="O5" s="23">
        <v>60000</v>
      </c>
    </row>
    <row r="6" spans="1:19" x14ac:dyDescent="0.3">
      <c r="B6" s="2" t="s">
        <v>12</v>
      </c>
      <c r="C6" s="6">
        <v>-500</v>
      </c>
      <c r="G6" t="s">
        <v>53</v>
      </c>
      <c r="J6">
        <v>30000</v>
      </c>
      <c r="L6" s="1">
        <v>50000</v>
      </c>
      <c r="M6" s="38">
        <f>M5/12</f>
        <v>4083.3333333333335</v>
      </c>
      <c r="N6" s="39">
        <v>45263</v>
      </c>
      <c r="O6" s="23">
        <f>235*61</f>
        <v>14335</v>
      </c>
    </row>
    <row r="7" spans="1:19" x14ac:dyDescent="0.3">
      <c r="B7" s="2" t="s">
        <v>13</v>
      </c>
      <c r="C7" s="6">
        <f>-40-40-60</f>
        <v>-140</v>
      </c>
      <c r="G7" t="s">
        <v>27</v>
      </c>
      <c r="J7">
        <v>260000</v>
      </c>
      <c r="K7" s="32"/>
      <c r="L7" s="1">
        <v>10000</v>
      </c>
      <c r="M7" s="47">
        <f>M6*63</f>
        <v>257250</v>
      </c>
      <c r="N7" s="39">
        <v>45280</v>
      </c>
      <c r="O7" s="23">
        <v>90000</v>
      </c>
    </row>
    <row r="8" spans="1:19" x14ac:dyDescent="0.3">
      <c r="B8" s="2" t="s">
        <v>14</v>
      </c>
      <c r="C8" s="6"/>
      <c r="G8" t="s">
        <v>29</v>
      </c>
      <c r="K8" s="32"/>
      <c r="M8" s="48">
        <v>60000</v>
      </c>
      <c r="O8" s="23"/>
    </row>
    <row r="9" spans="1:19" x14ac:dyDescent="0.3">
      <c r="B9" s="2" t="s">
        <v>41</v>
      </c>
      <c r="C9" s="6"/>
      <c r="G9" t="s">
        <v>46</v>
      </c>
      <c r="J9" s="1" t="s">
        <v>50</v>
      </c>
      <c r="K9" s="26"/>
      <c r="L9" s="26"/>
      <c r="M9" s="48">
        <v>-50000</v>
      </c>
      <c r="O9" s="23"/>
    </row>
    <row r="10" spans="1:19" x14ac:dyDescent="0.3">
      <c r="B10" s="2" t="s">
        <v>28</v>
      </c>
      <c r="C10" s="6">
        <v>-100</v>
      </c>
      <c r="K10" s="26"/>
      <c r="O10" s="23"/>
    </row>
    <row r="11" spans="1:19" x14ac:dyDescent="0.3">
      <c r="B11" s="2" t="s">
        <v>30</v>
      </c>
      <c r="C11" s="6">
        <v>-800</v>
      </c>
      <c r="K11" s="26"/>
      <c r="L11" s="1">
        <v>50000</v>
      </c>
      <c r="N11" s="22"/>
      <c r="O11" s="23"/>
    </row>
    <row r="12" spans="1:19" x14ac:dyDescent="0.3">
      <c r="K12" s="26"/>
      <c r="O12" s="23"/>
    </row>
    <row r="13" spans="1:19" x14ac:dyDescent="0.3">
      <c r="O13" s="23"/>
    </row>
    <row r="14" spans="1:19" x14ac:dyDescent="0.3">
      <c r="B14" s="10" t="s">
        <v>15</v>
      </c>
      <c r="C14" s="12">
        <f>SUM(C3:C13)</f>
        <v>1810</v>
      </c>
      <c r="G14" s="15" t="s">
        <v>20</v>
      </c>
      <c r="H14" s="16">
        <f>SUM(H1:H13)</f>
        <v>33720</v>
      </c>
      <c r="J14" s="15" t="s">
        <v>20</v>
      </c>
      <c r="K14" s="12">
        <f>SUM(K1:K13)</f>
        <v>4400</v>
      </c>
      <c r="L14" s="14">
        <f>SUM(L1:L13)</f>
        <v>390900</v>
      </c>
      <c r="M14" s="47">
        <f>SUM(M7:M12)</f>
        <v>267250</v>
      </c>
      <c r="O14" s="23">
        <f>SUM(O1:O13)</f>
        <v>304335</v>
      </c>
      <c r="R14" s="23"/>
    </row>
    <row r="15" spans="1:19" x14ac:dyDescent="0.3">
      <c r="O15" s="23"/>
      <c r="S15" s="28"/>
    </row>
    <row r="16" spans="1:19" x14ac:dyDescent="0.3">
      <c r="N16" s="22"/>
      <c r="O16" s="23"/>
    </row>
    <row r="17" spans="1:20" x14ac:dyDescent="0.3">
      <c r="C17" s="21">
        <f>C14*62</f>
        <v>112220</v>
      </c>
      <c r="H17" s="17" t="s">
        <v>25</v>
      </c>
      <c r="I17" s="17"/>
      <c r="J17" s="21">
        <f>L14+H14</f>
        <v>424620</v>
      </c>
      <c r="K17" s="24"/>
      <c r="L17" s="26"/>
      <c r="N17" s="22"/>
      <c r="O17" s="23"/>
      <c r="S17" s="28"/>
    </row>
    <row r="18" spans="1:20" x14ac:dyDescent="0.3">
      <c r="C18" s="19"/>
      <c r="K18" s="24"/>
      <c r="L18" s="26"/>
      <c r="N18" s="22"/>
      <c r="O18" s="23"/>
      <c r="S18" s="23"/>
    </row>
    <row r="19" spans="1:20" x14ac:dyDescent="0.3">
      <c r="A19" t="s">
        <v>31</v>
      </c>
      <c r="G19" s="23"/>
      <c r="M19" s="49"/>
      <c r="O19" s="23"/>
    </row>
    <row r="20" spans="1:20" x14ac:dyDescent="0.3">
      <c r="A20" t="s">
        <v>32</v>
      </c>
      <c r="B20" s="27">
        <v>475000</v>
      </c>
      <c r="C20" s="1"/>
      <c r="D20" s="1"/>
      <c r="J20" s="24"/>
    </row>
    <row r="21" spans="1:20" x14ac:dyDescent="0.3">
      <c r="A21" t="s">
        <v>33</v>
      </c>
      <c r="B21" s="40">
        <v>225000</v>
      </c>
      <c r="J21" s="24"/>
      <c r="K21" s="131" t="s">
        <v>87</v>
      </c>
      <c r="L21" s="131"/>
      <c r="N21" s="34"/>
    </row>
    <row r="22" spans="1:20" x14ac:dyDescent="0.3">
      <c r="A22" t="s">
        <v>75</v>
      </c>
      <c r="B22">
        <v>50000</v>
      </c>
      <c r="G22">
        <f>4300000</f>
        <v>4300000</v>
      </c>
      <c r="J22" s="24"/>
      <c r="K22" s="41">
        <v>2024</v>
      </c>
      <c r="L22" s="36"/>
      <c r="N22" s="37" t="s">
        <v>69</v>
      </c>
      <c r="O22" s="35">
        <f>SUM(O1:O21)</f>
        <v>608670</v>
      </c>
    </row>
    <row r="23" spans="1:20" x14ac:dyDescent="0.3">
      <c r="A23" t="s">
        <v>51</v>
      </c>
      <c r="B23" s="27">
        <v>130000</v>
      </c>
      <c r="C23" s="24"/>
      <c r="G23" s="31">
        <v>-1400000</v>
      </c>
      <c r="H23" s="31"/>
      <c r="I23" s="31"/>
      <c r="J23" s="24"/>
      <c r="K23" s="3" t="s">
        <v>90</v>
      </c>
      <c r="L23" s="44">
        <v>7179</v>
      </c>
      <c r="N23" s="18"/>
      <c r="O23" s="23"/>
    </row>
    <row r="24" spans="1:20" x14ac:dyDescent="0.3">
      <c r="A24" t="s">
        <v>77</v>
      </c>
      <c r="B24">
        <v>70000</v>
      </c>
      <c r="G24" s="31">
        <f>-160000*12</f>
        <v>-1920000</v>
      </c>
      <c r="J24" s="26"/>
      <c r="K24" s="3" t="s">
        <v>91</v>
      </c>
      <c r="L24" s="44">
        <v>3531</v>
      </c>
      <c r="N24" s="18"/>
      <c r="O24" s="23"/>
    </row>
    <row r="25" spans="1:20" x14ac:dyDescent="0.3">
      <c r="A25" t="s">
        <v>48</v>
      </c>
      <c r="B25">
        <v>0</v>
      </c>
      <c r="J25" s="26"/>
      <c r="K25" s="6" t="s">
        <v>92</v>
      </c>
      <c r="L25" s="44">
        <v>2983</v>
      </c>
      <c r="M25" s="50" t="s">
        <v>96</v>
      </c>
      <c r="N25" s="35">
        <v>6500000</v>
      </c>
      <c r="O25" s="23"/>
    </row>
    <row r="26" spans="1:20" x14ac:dyDescent="0.3">
      <c r="F26" s="23"/>
      <c r="J26" s="26"/>
      <c r="K26" s="6" t="s">
        <v>94</v>
      </c>
      <c r="L26" s="44">
        <v>8000</v>
      </c>
      <c r="O26" s="23"/>
    </row>
    <row r="27" spans="1:20" x14ac:dyDescent="0.3">
      <c r="K27" s="42" t="s">
        <v>93</v>
      </c>
      <c r="L27" s="44">
        <v>95000</v>
      </c>
      <c r="O27" s="23"/>
      <c r="S27" s="6" t="s">
        <v>209</v>
      </c>
      <c r="T27" s="101">
        <v>15500</v>
      </c>
    </row>
    <row r="28" spans="1:20" x14ac:dyDescent="0.3">
      <c r="K28" s="6" t="s">
        <v>95</v>
      </c>
      <c r="L28" s="44">
        <v>42000</v>
      </c>
      <c r="N28" s="34"/>
      <c r="S28" s="6" t="s">
        <v>210</v>
      </c>
      <c r="T28" s="101">
        <v>7200</v>
      </c>
    </row>
    <row r="29" spans="1:20" x14ac:dyDescent="0.3">
      <c r="K29" s="6" t="s">
        <v>97</v>
      </c>
      <c r="L29" s="46">
        <v>-85000</v>
      </c>
      <c r="N29" s="6" t="s">
        <v>299</v>
      </c>
      <c r="O29" s="95">
        <v>45505</v>
      </c>
      <c r="S29" s="6" t="s">
        <v>212</v>
      </c>
      <c r="T29" s="101">
        <v>9000</v>
      </c>
    </row>
    <row r="30" spans="1:20" x14ac:dyDescent="0.3">
      <c r="B30">
        <f>SUM(B20:B28)</f>
        <v>950000</v>
      </c>
      <c r="K30" s="2"/>
      <c r="L30" s="43"/>
      <c r="N30" s="6"/>
      <c r="O30" s="89">
        <v>111276</v>
      </c>
      <c r="S30" s="6" t="s">
        <v>211</v>
      </c>
      <c r="T30" s="101">
        <v>9000</v>
      </c>
    </row>
    <row r="31" spans="1:20" x14ac:dyDescent="0.3">
      <c r="K31" s="2"/>
      <c r="L31" s="43"/>
      <c r="M31" s="51"/>
      <c r="N31" s="6"/>
      <c r="O31" s="89">
        <v>3600</v>
      </c>
      <c r="S31" s="6" t="s">
        <v>348</v>
      </c>
      <c r="T31" s="101">
        <v>2000</v>
      </c>
    </row>
    <row r="32" spans="1:20" x14ac:dyDescent="0.3">
      <c r="J32" s="23"/>
      <c r="K32" s="2"/>
      <c r="L32" s="43"/>
      <c r="N32" s="6"/>
      <c r="O32" s="96">
        <f>SUM(O30:O31)</f>
        <v>114876</v>
      </c>
      <c r="S32" s="6" t="s">
        <v>349</v>
      </c>
      <c r="T32" s="101">
        <v>2000</v>
      </c>
    </row>
    <row r="33" spans="1:20" x14ac:dyDescent="0.3">
      <c r="A33" t="s">
        <v>61</v>
      </c>
      <c r="K33" s="2"/>
      <c r="L33" s="43"/>
      <c r="N33" s="18"/>
      <c r="O33" s="23"/>
      <c r="S33" s="6" t="s">
        <v>350</v>
      </c>
      <c r="T33" s="101">
        <v>2000</v>
      </c>
    </row>
    <row r="34" spans="1:20" x14ac:dyDescent="0.3">
      <c r="A34" t="s">
        <v>54</v>
      </c>
      <c r="K34" s="2"/>
      <c r="L34" s="43"/>
      <c r="N34" s="18"/>
      <c r="S34" s="6" t="s">
        <v>351</v>
      </c>
      <c r="T34" s="101">
        <v>2390</v>
      </c>
    </row>
    <row r="35" spans="1:20" x14ac:dyDescent="0.3">
      <c r="A35" t="s">
        <v>55</v>
      </c>
      <c r="B35">
        <v>30000</v>
      </c>
      <c r="J35" s="23"/>
      <c r="K35" s="57" t="s">
        <v>85</v>
      </c>
      <c r="L35" s="43">
        <f>SUM(L23:L34)</f>
        <v>73693</v>
      </c>
      <c r="N35" s="18"/>
      <c r="O35" s="23"/>
      <c r="S35" s="2"/>
      <c r="T35" s="84"/>
    </row>
    <row r="36" spans="1:20" x14ac:dyDescent="0.3">
      <c r="A36" t="s">
        <v>56</v>
      </c>
      <c r="B36">
        <v>350000</v>
      </c>
      <c r="N36" s="18"/>
      <c r="O36" s="23"/>
      <c r="S36" s="76"/>
      <c r="T36" s="102">
        <f>SUM(T27:T35)</f>
        <v>49090</v>
      </c>
    </row>
    <row r="37" spans="1:20" x14ac:dyDescent="0.3">
      <c r="A37" t="s">
        <v>57</v>
      </c>
      <c r="B37">
        <v>50000</v>
      </c>
      <c r="C37" s="133" t="s">
        <v>235</v>
      </c>
      <c r="D37" s="133"/>
      <c r="K37" s="60" t="s">
        <v>15</v>
      </c>
      <c r="L37" s="61"/>
      <c r="N37" s="83" t="s">
        <v>214</v>
      </c>
      <c r="O37" s="83" t="s">
        <v>215</v>
      </c>
      <c r="P37" s="83" t="s">
        <v>52</v>
      </c>
    </row>
    <row r="38" spans="1:20" x14ac:dyDescent="0.3">
      <c r="B38">
        <v>50000</v>
      </c>
      <c r="K38" s="2" t="s">
        <v>70</v>
      </c>
      <c r="L38" s="2">
        <v>20000</v>
      </c>
      <c r="N38" s="80" t="s">
        <v>173</v>
      </c>
      <c r="O38" s="73">
        <v>2068543</v>
      </c>
      <c r="P38" s="73">
        <v>15969</v>
      </c>
    </row>
    <row r="39" spans="1:20" x14ac:dyDescent="0.3">
      <c r="C39" s="134" t="s">
        <v>52</v>
      </c>
      <c r="D39" s="135"/>
      <c r="K39" s="2" t="s">
        <v>71</v>
      </c>
      <c r="L39" s="2">
        <v>90000</v>
      </c>
      <c r="N39" s="80" t="s">
        <v>173</v>
      </c>
      <c r="O39" s="73">
        <v>3565757</v>
      </c>
      <c r="P39" s="73">
        <v>32739</v>
      </c>
    </row>
    <row r="40" spans="1:20" x14ac:dyDescent="0.3">
      <c r="C40" s="6" t="s">
        <v>236</v>
      </c>
      <c r="D40" s="87">
        <f>80000*36</f>
        <v>2880000</v>
      </c>
      <c r="K40" s="2" t="s">
        <v>72</v>
      </c>
      <c r="L40" s="2">
        <v>10000</v>
      </c>
      <c r="N40" s="80" t="s">
        <v>213</v>
      </c>
      <c r="O40" s="73">
        <v>1300000</v>
      </c>
      <c r="P40" s="73">
        <v>13200</v>
      </c>
      <c r="R40">
        <v>3100</v>
      </c>
      <c r="T40">
        <v>3263</v>
      </c>
    </row>
    <row r="41" spans="1:20" x14ac:dyDescent="0.3">
      <c r="C41" s="6" t="s">
        <v>237</v>
      </c>
      <c r="D41" s="87">
        <v>-300000</v>
      </c>
      <c r="K41" s="2" t="s">
        <v>73</v>
      </c>
      <c r="L41" s="2">
        <v>10000</v>
      </c>
      <c r="N41" s="6"/>
      <c r="O41" s="81">
        <f>SUM(O38:O40)</f>
        <v>6934300</v>
      </c>
      <c r="P41" s="81">
        <f>SUM(P38:P40)</f>
        <v>61908</v>
      </c>
    </row>
    <row r="42" spans="1:20" x14ac:dyDescent="0.3">
      <c r="C42" s="6" t="s">
        <v>238</v>
      </c>
      <c r="D42" s="87">
        <v>-1400000</v>
      </c>
      <c r="K42" s="2" t="s">
        <v>10</v>
      </c>
      <c r="L42" s="2">
        <v>16000</v>
      </c>
      <c r="N42" s="1"/>
      <c r="O42" s="1"/>
    </row>
    <row r="43" spans="1:20" x14ac:dyDescent="0.3">
      <c r="C43" s="6" t="s">
        <v>235</v>
      </c>
      <c r="D43" s="87">
        <v>-500000</v>
      </c>
      <c r="K43" s="2" t="s">
        <v>74</v>
      </c>
      <c r="L43" s="2">
        <v>2000</v>
      </c>
      <c r="N43" s="1"/>
      <c r="O43" s="1"/>
    </row>
    <row r="44" spans="1:20" x14ac:dyDescent="0.3">
      <c r="B44">
        <f>SUM(B35:B43)</f>
        <v>480000</v>
      </c>
      <c r="C44" s="41"/>
      <c r="D44" s="87"/>
      <c r="K44" s="2"/>
      <c r="L44" s="2"/>
      <c r="N44" s="79" t="s">
        <v>206</v>
      </c>
      <c r="O44" s="6" t="s">
        <v>204</v>
      </c>
      <c r="P44" s="2" t="s">
        <v>205</v>
      </c>
      <c r="Q44" s="6" t="s">
        <v>158</v>
      </c>
      <c r="R44" s="6" t="s">
        <v>89</v>
      </c>
      <c r="S44" s="6" t="s">
        <v>242</v>
      </c>
    </row>
    <row r="45" spans="1:20" x14ac:dyDescent="0.3">
      <c r="C45" s="41"/>
      <c r="D45" s="87"/>
      <c r="K45" s="2"/>
      <c r="L45" s="2"/>
      <c r="N45" s="6" t="s">
        <v>181</v>
      </c>
      <c r="O45" s="6">
        <v>4034</v>
      </c>
      <c r="P45" s="6">
        <v>276.47000000000003</v>
      </c>
      <c r="Q45" s="6">
        <v>3839</v>
      </c>
      <c r="R45" s="6">
        <f>O45-Q45</f>
        <v>195</v>
      </c>
      <c r="S45" s="78">
        <f>R45/P45</f>
        <v>0.70532064961840335</v>
      </c>
      <c r="T45">
        <f>P45*S45</f>
        <v>195</v>
      </c>
    </row>
    <row r="46" spans="1:20" x14ac:dyDescent="0.3">
      <c r="K46" s="2"/>
      <c r="L46" s="2"/>
      <c r="N46" s="6" t="s">
        <v>182</v>
      </c>
      <c r="O46" s="6">
        <v>1077</v>
      </c>
      <c r="P46" s="6">
        <v>78.5</v>
      </c>
      <c r="Q46" s="6">
        <v>1077</v>
      </c>
      <c r="R46" s="6">
        <f>O46-Q46</f>
        <v>0</v>
      </c>
      <c r="S46" s="78">
        <f>R46/P46</f>
        <v>0</v>
      </c>
      <c r="T46">
        <f>P45-T45</f>
        <v>81.470000000000027</v>
      </c>
    </row>
    <row r="47" spans="1:20" x14ac:dyDescent="0.3">
      <c r="D47" s="88">
        <f>SUM(D40:D46)</f>
        <v>680000</v>
      </c>
      <c r="K47" s="2"/>
      <c r="L47" s="2"/>
      <c r="N47" s="6" t="s">
        <v>303</v>
      </c>
      <c r="O47" s="6">
        <v>396</v>
      </c>
      <c r="P47" s="6">
        <v>189</v>
      </c>
      <c r="Q47" s="6">
        <v>189</v>
      </c>
      <c r="R47" s="6">
        <f>O47-Q47</f>
        <v>207</v>
      </c>
      <c r="S47" s="78">
        <f>R47/P47</f>
        <v>1.0952380952380953</v>
      </c>
    </row>
    <row r="48" spans="1:20" x14ac:dyDescent="0.3">
      <c r="N48" s="1"/>
      <c r="O48" s="1"/>
    </row>
    <row r="49" spans="3:19" x14ac:dyDescent="0.3">
      <c r="K49" s="80" t="s">
        <v>172</v>
      </c>
      <c r="L49" s="6">
        <v>101328691</v>
      </c>
      <c r="N49" s="1"/>
      <c r="O49" s="1"/>
    </row>
    <row r="50" spans="3:19" x14ac:dyDescent="0.3">
      <c r="G50" s="1"/>
      <c r="K50" s="80" t="s">
        <v>173</v>
      </c>
      <c r="L50" s="73">
        <v>2268543</v>
      </c>
      <c r="N50" s="1"/>
      <c r="O50" s="1"/>
    </row>
    <row r="51" spans="3:19" x14ac:dyDescent="0.3">
      <c r="K51" s="80" t="s">
        <v>150</v>
      </c>
      <c r="L51" s="73">
        <v>22431</v>
      </c>
      <c r="N51" s="1"/>
      <c r="O51" s="1"/>
    </row>
    <row r="52" spans="3:19" x14ac:dyDescent="0.3">
      <c r="O52" s="1"/>
    </row>
    <row r="53" spans="3:19" x14ac:dyDescent="0.3">
      <c r="C53" s="41" t="s">
        <v>230</v>
      </c>
      <c r="D53" s="83" t="s">
        <v>222</v>
      </c>
      <c r="J53" s="130" t="s">
        <v>359</v>
      </c>
      <c r="K53" s="130"/>
      <c r="L53" s="130"/>
      <c r="M53" s="1"/>
      <c r="N53" s="1"/>
      <c r="O53" s="128" t="s">
        <v>186</v>
      </c>
      <c r="P53" s="129"/>
      <c r="Q53" s="1"/>
      <c r="R53" s="128" t="s">
        <v>218</v>
      </c>
      <c r="S53" s="129"/>
    </row>
    <row r="54" spans="3:19" x14ac:dyDescent="0.3">
      <c r="C54" s="6"/>
      <c r="D54" s="94">
        <v>100000</v>
      </c>
      <c r="F54" s="2" t="s">
        <v>354</v>
      </c>
      <c r="G54" s="3">
        <v>-155</v>
      </c>
      <c r="J54" s="63" t="s">
        <v>89</v>
      </c>
      <c r="K54" s="1"/>
      <c r="L54" s="64">
        <v>300</v>
      </c>
      <c r="M54" s="1"/>
      <c r="O54" s="2" t="s">
        <v>186</v>
      </c>
      <c r="P54" s="73">
        <v>20000</v>
      </c>
      <c r="R54" s="2" t="s">
        <v>220</v>
      </c>
      <c r="S54" s="87">
        <v>213800</v>
      </c>
    </row>
    <row r="55" spans="3:19" x14ac:dyDescent="0.3">
      <c r="C55" s="6"/>
      <c r="D55" s="94">
        <v>300000</v>
      </c>
      <c r="F55" s="2" t="s">
        <v>343</v>
      </c>
      <c r="G55" s="6">
        <v>-135</v>
      </c>
      <c r="J55" s="63" t="s">
        <v>12</v>
      </c>
      <c r="K55" s="39"/>
      <c r="L55" s="64">
        <v>200</v>
      </c>
      <c r="M55" s="1"/>
      <c r="O55" s="2" t="s">
        <v>186</v>
      </c>
      <c r="P55" s="73">
        <v>75000</v>
      </c>
      <c r="R55" s="2" t="s">
        <v>356</v>
      </c>
      <c r="S55" s="87">
        <v>-100000</v>
      </c>
    </row>
    <row r="56" spans="3:19" x14ac:dyDescent="0.3">
      <c r="C56" s="6"/>
      <c r="D56" s="94">
        <v>300000</v>
      </c>
      <c r="F56" s="2" t="s">
        <v>355</v>
      </c>
      <c r="G56" s="6">
        <v>-109</v>
      </c>
      <c r="J56" s="65" t="s">
        <v>84</v>
      </c>
      <c r="K56" s="39">
        <v>45930</v>
      </c>
      <c r="L56" s="64">
        <v>3100</v>
      </c>
      <c r="M56" s="1">
        <v>388</v>
      </c>
      <c r="O56" s="2" t="s">
        <v>186</v>
      </c>
      <c r="P56" s="73">
        <v>73000</v>
      </c>
      <c r="R56" s="2" t="s">
        <v>357</v>
      </c>
      <c r="S56" s="105">
        <v>-50000</v>
      </c>
    </row>
    <row r="57" spans="3:19" x14ac:dyDescent="0.3">
      <c r="C57" s="6"/>
      <c r="D57" s="94">
        <v>300000</v>
      </c>
      <c r="F57" s="2" t="s">
        <v>361</v>
      </c>
      <c r="G57" s="6">
        <v>-100</v>
      </c>
      <c r="J57" s="63" t="s">
        <v>10</v>
      </c>
      <c r="K57" s="39">
        <v>45931</v>
      </c>
      <c r="L57" s="71">
        <v>-2275</v>
      </c>
      <c r="M57" s="1"/>
      <c r="O57" s="2" t="s">
        <v>186</v>
      </c>
      <c r="P57" s="73">
        <v>125000</v>
      </c>
      <c r="R57" s="2" t="s">
        <v>358</v>
      </c>
      <c r="S57" s="105">
        <v>-15000</v>
      </c>
    </row>
    <row r="58" spans="3:19" x14ac:dyDescent="0.3">
      <c r="C58" s="6"/>
      <c r="D58" s="94">
        <v>600000</v>
      </c>
      <c r="G58" s="1"/>
      <c r="J58" s="63" t="s">
        <v>256</v>
      </c>
      <c r="K58" s="39">
        <v>45931</v>
      </c>
      <c r="L58" s="64">
        <v>-150</v>
      </c>
      <c r="M58" s="1"/>
      <c r="N58" s="1"/>
      <c r="O58" s="2" t="s">
        <v>191</v>
      </c>
      <c r="P58" s="73">
        <v>22000</v>
      </c>
      <c r="R58" s="2" t="s">
        <v>360</v>
      </c>
      <c r="S58" s="86">
        <v>40000</v>
      </c>
    </row>
    <row r="59" spans="3:19" x14ac:dyDescent="0.3">
      <c r="C59" s="6"/>
      <c r="D59" s="94">
        <v>400000</v>
      </c>
      <c r="E59" s="1"/>
      <c r="F59" s="1"/>
      <c r="G59" s="1"/>
      <c r="J59" s="63" t="s">
        <v>12</v>
      </c>
      <c r="K59" s="39">
        <v>45931</v>
      </c>
      <c r="L59" s="71">
        <v>-200</v>
      </c>
      <c r="M59" s="1"/>
      <c r="N59" s="1"/>
      <c r="O59" s="2" t="s">
        <v>188</v>
      </c>
      <c r="P59" s="73">
        <v>105000</v>
      </c>
      <c r="R59" s="103">
        <v>45931</v>
      </c>
      <c r="S59" s="86">
        <v>35000</v>
      </c>
    </row>
    <row r="60" spans="3:19" x14ac:dyDescent="0.3">
      <c r="C60" s="6"/>
      <c r="D60" s="94">
        <v>300000</v>
      </c>
      <c r="E60" s="6"/>
      <c r="F60" s="6">
        <v>-20</v>
      </c>
      <c r="G60" s="1"/>
      <c r="J60" s="63" t="s">
        <v>190</v>
      </c>
      <c r="K60" s="39">
        <v>45933</v>
      </c>
      <c r="L60" s="71">
        <v>-12</v>
      </c>
      <c r="M60"/>
      <c r="N60" s="1"/>
      <c r="O60" s="2" t="s">
        <v>208</v>
      </c>
      <c r="P60" s="73">
        <v>30000</v>
      </c>
      <c r="R60" s="103">
        <v>46082</v>
      </c>
      <c r="S60" s="86">
        <v>25000</v>
      </c>
    </row>
    <row r="61" spans="3:19" x14ac:dyDescent="0.3">
      <c r="C61" s="6"/>
      <c r="D61" s="86">
        <v>350000</v>
      </c>
      <c r="E61" s="2"/>
      <c r="F61" s="6">
        <v>-50</v>
      </c>
      <c r="G61" s="1"/>
      <c r="J61" s="63" t="s">
        <v>80</v>
      </c>
      <c r="K61" s="39">
        <v>45933</v>
      </c>
      <c r="L61" s="71">
        <v>-134</v>
      </c>
      <c r="M61"/>
      <c r="O61" s="2" t="s">
        <v>217</v>
      </c>
      <c r="P61" s="74">
        <v>30000</v>
      </c>
      <c r="R61" s="103">
        <v>46113</v>
      </c>
      <c r="S61" s="86">
        <v>25000</v>
      </c>
    </row>
    <row r="62" spans="3:19" x14ac:dyDescent="0.3">
      <c r="C62" s="6"/>
      <c r="D62" s="94">
        <v>300000</v>
      </c>
      <c r="E62" s="2" t="s">
        <v>363</v>
      </c>
      <c r="F62" s="6">
        <v>-75</v>
      </c>
      <c r="G62" s="1"/>
      <c r="J62" s="63" t="s">
        <v>78</v>
      </c>
      <c r="K62" s="39">
        <v>45935</v>
      </c>
      <c r="L62" s="71">
        <v>-44</v>
      </c>
      <c r="M62" s="1"/>
      <c r="N62" s="1"/>
      <c r="O62" s="2" t="s">
        <v>302</v>
      </c>
      <c r="P62" s="74">
        <v>30000</v>
      </c>
      <c r="R62" s="103">
        <v>46143</v>
      </c>
      <c r="S62" s="86">
        <v>25000</v>
      </c>
    </row>
    <row r="63" spans="3:19" x14ac:dyDescent="0.3">
      <c r="C63" s="6"/>
      <c r="D63" s="86">
        <v>300000</v>
      </c>
      <c r="E63" s="2" t="s">
        <v>368</v>
      </c>
      <c r="F63" s="6">
        <v>-100</v>
      </c>
      <c r="G63" s="1"/>
      <c r="J63" s="63" t="s">
        <v>79</v>
      </c>
      <c r="K63" s="39">
        <v>45934</v>
      </c>
      <c r="L63" s="71">
        <v>-58</v>
      </c>
      <c r="M63" s="1"/>
      <c r="O63" s="2" t="s">
        <v>189</v>
      </c>
      <c r="P63" s="81">
        <f>SUM(P54:P62)</f>
        <v>510000</v>
      </c>
      <c r="R63" s="2"/>
      <c r="S63" s="2"/>
    </row>
    <row r="64" spans="3:19" x14ac:dyDescent="0.3">
      <c r="C64" s="6"/>
      <c r="D64" s="86">
        <v>130000</v>
      </c>
      <c r="E64" s="2"/>
      <c r="F64" s="6">
        <v>-150</v>
      </c>
      <c r="G64" s="1"/>
      <c r="J64" s="63" t="s">
        <v>82</v>
      </c>
      <c r="K64" s="39">
        <v>45945</v>
      </c>
      <c r="L64" s="71"/>
      <c r="M64"/>
      <c r="N64" s="1"/>
      <c r="R64" s="2"/>
      <c r="S64" s="2"/>
    </row>
    <row r="65" spans="3:21" x14ac:dyDescent="0.3">
      <c r="C65" s="6"/>
      <c r="D65" s="86">
        <v>50000</v>
      </c>
      <c r="E65" s="2"/>
      <c r="F65" s="6">
        <v>-200</v>
      </c>
      <c r="J65" s="63" t="s">
        <v>86</v>
      </c>
      <c r="L65" s="64">
        <v>-60</v>
      </c>
      <c r="M65" s="1"/>
      <c r="N65" s="1"/>
      <c r="R65" s="2"/>
      <c r="S65" s="2"/>
    </row>
    <row r="66" spans="3:21" x14ac:dyDescent="0.3">
      <c r="J66" s="63" t="s">
        <v>50</v>
      </c>
      <c r="L66" s="64">
        <v>-40</v>
      </c>
      <c r="M66" s="1"/>
      <c r="N66" s="1"/>
      <c r="R66" s="2"/>
      <c r="S66" s="2"/>
    </row>
    <row r="67" spans="3:21" x14ac:dyDescent="0.3">
      <c r="J67" s="65" t="s">
        <v>84</v>
      </c>
      <c r="K67" s="39">
        <v>45945</v>
      </c>
      <c r="L67" s="64">
        <v>3100</v>
      </c>
      <c r="M67" s="1"/>
      <c r="O67" s="6" t="s">
        <v>84</v>
      </c>
      <c r="P67" s="73">
        <f>3100*63.47</f>
        <v>196757</v>
      </c>
      <c r="R67" s="41" t="s">
        <v>8</v>
      </c>
      <c r="S67" s="81">
        <f>SUM(S54:S62)</f>
        <v>198800</v>
      </c>
    </row>
    <row r="68" spans="3:21" x14ac:dyDescent="0.3">
      <c r="C68" s="128" t="s">
        <v>231</v>
      </c>
      <c r="D68" s="132"/>
      <c r="E68" s="134" t="s">
        <v>369</v>
      </c>
      <c r="F68" s="135"/>
      <c r="G68" s="6" t="s">
        <v>31</v>
      </c>
      <c r="J68" s="63" t="s">
        <v>81</v>
      </c>
      <c r="K68" s="39">
        <v>45945</v>
      </c>
      <c r="L68" s="71"/>
      <c r="M68" s="1"/>
      <c r="O68" s="6" t="s">
        <v>175</v>
      </c>
      <c r="P68" s="73">
        <f>-13200-32739-15969</f>
        <v>-61908</v>
      </c>
    </row>
    <row r="69" spans="3:21" x14ac:dyDescent="0.3">
      <c r="C69" s="2" t="s">
        <v>232</v>
      </c>
      <c r="D69" s="106">
        <v>1525</v>
      </c>
      <c r="E69" s="2" t="s">
        <v>232</v>
      </c>
      <c r="F69" s="86">
        <v>1525</v>
      </c>
      <c r="G69" s="86">
        <v>2060</v>
      </c>
      <c r="J69" s="63" t="s">
        <v>82</v>
      </c>
      <c r="K69" s="39">
        <v>45945</v>
      </c>
      <c r="L69" s="71"/>
      <c r="M69" s="1"/>
      <c r="O69" s="6" t="s">
        <v>72</v>
      </c>
      <c r="P69" s="73">
        <v>-12500</v>
      </c>
    </row>
    <row r="70" spans="3:21" x14ac:dyDescent="0.3">
      <c r="C70" s="2" t="s">
        <v>233</v>
      </c>
      <c r="D70" s="106">
        <v>1525</v>
      </c>
      <c r="E70" s="2" t="s">
        <v>370</v>
      </c>
      <c r="F70" s="86">
        <v>1525</v>
      </c>
      <c r="G70" s="86">
        <v>150</v>
      </c>
      <c r="J70" s="63" t="s">
        <v>12</v>
      </c>
      <c r="K70" s="39">
        <v>45945</v>
      </c>
      <c r="L70" s="64">
        <v>-200</v>
      </c>
      <c r="M70" s="1"/>
      <c r="O70" s="6" t="s">
        <v>183</v>
      </c>
      <c r="P70" s="73">
        <v>-80000</v>
      </c>
    </row>
    <row r="71" spans="3:21" x14ac:dyDescent="0.3">
      <c r="C71" s="2" t="s">
        <v>234</v>
      </c>
      <c r="D71" s="87">
        <v>260</v>
      </c>
      <c r="E71" s="2" t="s">
        <v>234</v>
      </c>
      <c r="F71" s="86">
        <v>260</v>
      </c>
      <c r="G71" s="86">
        <v>2950</v>
      </c>
      <c r="H71">
        <v>2537</v>
      </c>
      <c r="J71" s="63" t="s">
        <v>83</v>
      </c>
      <c r="K71" s="39">
        <v>45945</v>
      </c>
      <c r="L71" s="64">
        <v>-1500</v>
      </c>
      <c r="M71" s="1"/>
      <c r="N71" s="1"/>
      <c r="O71" s="6" t="s">
        <v>185</v>
      </c>
      <c r="P71" s="73"/>
    </row>
    <row r="72" spans="3:21" x14ac:dyDescent="0.3">
      <c r="C72" s="2" t="s">
        <v>328</v>
      </c>
      <c r="D72" s="87">
        <v>550</v>
      </c>
      <c r="E72" s="2" t="s">
        <v>329</v>
      </c>
      <c r="F72" s="86">
        <v>170</v>
      </c>
      <c r="G72" s="2"/>
      <c r="J72" s="63" t="s">
        <v>326</v>
      </c>
      <c r="K72" s="39">
        <v>45945</v>
      </c>
      <c r="L72" s="64">
        <v>-1000</v>
      </c>
      <c r="M72" s="1"/>
      <c r="N72" s="1"/>
      <c r="O72" s="6" t="s">
        <v>184</v>
      </c>
      <c r="P72" s="73">
        <v>-30000</v>
      </c>
      <c r="R72" s="85" t="s">
        <v>224</v>
      </c>
      <c r="S72" s="86">
        <v>-32737</v>
      </c>
      <c r="U72">
        <f>30500+12000+13200</f>
        <v>55700</v>
      </c>
    </row>
    <row r="73" spans="3:21" x14ac:dyDescent="0.3">
      <c r="C73" s="2" t="s">
        <v>329</v>
      </c>
      <c r="D73" s="106">
        <v>500</v>
      </c>
      <c r="E73" s="2" t="s">
        <v>381</v>
      </c>
      <c r="F73" s="86">
        <v>2052</v>
      </c>
      <c r="G73" s="2"/>
      <c r="H73">
        <f>-3480</f>
        <v>-3480</v>
      </c>
      <c r="J73" s="63" t="s">
        <v>184</v>
      </c>
      <c r="K73" s="39">
        <v>45945</v>
      </c>
      <c r="L73" s="64">
        <v>-450</v>
      </c>
      <c r="M73" s="1"/>
      <c r="P73" s="81">
        <f>SUM(P67:P72)</f>
        <v>12349</v>
      </c>
      <c r="R73" s="85" t="s">
        <v>224</v>
      </c>
      <c r="S73" s="86">
        <v>-15969</v>
      </c>
    </row>
    <row r="74" spans="3:21" x14ac:dyDescent="0.3">
      <c r="C74" s="2" t="s">
        <v>330</v>
      </c>
      <c r="D74" s="107">
        <f>SUM(D69:D73)</f>
        <v>4360</v>
      </c>
      <c r="E74" s="2" t="s">
        <v>382</v>
      </c>
      <c r="F74" s="86">
        <v>1026</v>
      </c>
      <c r="G74" s="2"/>
      <c r="H74">
        <f>-1026+50</f>
        <v>-976</v>
      </c>
      <c r="J74" s="63" t="s">
        <v>174</v>
      </c>
      <c r="K74" s="39">
        <v>45960</v>
      </c>
      <c r="L74" s="71">
        <v>-25</v>
      </c>
      <c r="R74" s="85" t="s">
        <v>225</v>
      </c>
      <c r="S74" s="86">
        <v>-13200</v>
      </c>
      <c r="U74" s="23">
        <v>129899</v>
      </c>
    </row>
    <row r="75" spans="3:21" x14ac:dyDescent="0.3">
      <c r="C75" s="2"/>
      <c r="D75" s="108"/>
      <c r="E75" s="123" t="s">
        <v>24</v>
      </c>
      <c r="F75" s="86">
        <v>-550</v>
      </c>
      <c r="G75" s="2"/>
      <c r="J75" s="63" t="s">
        <v>187</v>
      </c>
      <c r="K75" s="39">
        <v>45960</v>
      </c>
      <c r="L75" s="71">
        <v>-17</v>
      </c>
      <c r="R75" s="2"/>
      <c r="S75" s="2"/>
    </row>
    <row r="76" spans="3:21" x14ac:dyDescent="0.3">
      <c r="C76" s="2"/>
      <c r="D76" s="108"/>
      <c r="E76" s="2" t="s">
        <v>222</v>
      </c>
      <c r="F76" s="86">
        <v>-1026</v>
      </c>
      <c r="G76" s="2"/>
      <c r="J76" s="63" t="s">
        <v>255</v>
      </c>
      <c r="K76" s="39">
        <v>45960</v>
      </c>
      <c r="L76" s="64">
        <v>46</v>
      </c>
      <c r="N76" s="86">
        <f>2000*63</f>
        <v>126000</v>
      </c>
      <c r="O76" s="6" t="s">
        <v>84</v>
      </c>
      <c r="P76" s="73">
        <f>2950*62.42</f>
        <v>184139</v>
      </c>
      <c r="R76" s="2"/>
      <c r="S76" s="2"/>
    </row>
    <row r="77" spans="3:21" x14ac:dyDescent="0.3">
      <c r="C77" s="2"/>
      <c r="D77" s="108"/>
      <c r="E77" s="2" t="s">
        <v>384</v>
      </c>
      <c r="F77" s="86">
        <v>170</v>
      </c>
      <c r="G77" s="2"/>
      <c r="J77" s="63" t="s">
        <v>86</v>
      </c>
      <c r="L77" s="64"/>
      <c r="M77" s="1"/>
      <c r="O77" s="6" t="s">
        <v>175</v>
      </c>
      <c r="P77" s="73">
        <f>-13200-32739-15969</f>
        <v>-61908</v>
      </c>
      <c r="R77" s="2"/>
      <c r="S77" s="2"/>
    </row>
    <row r="78" spans="3:21" x14ac:dyDescent="0.3">
      <c r="C78" s="2"/>
      <c r="D78" s="109">
        <f>SUM(D69:D76)</f>
        <v>8720</v>
      </c>
      <c r="E78" s="2" t="s">
        <v>387</v>
      </c>
      <c r="F78" s="2">
        <v>-45</v>
      </c>
      <c r="G78" s="2"/>
      <c r="J78" s="66"/>
      <c r="L78" s="64"/>
      <c r="M78" s="1"/>
      <c r="O78" s="6" t="s">
        <v>72</v>
      </c>
      <c r="P78" s="73">
        <v>-12000</v>
      </c>
      <c r="R78" s="2" t="s">
        <v>226</v>
      </c>
      <c r="S78" s="43">
        <f>SUM(S72:S77)</f>
        <v>-61906</v>
      </c>
    </row>
    <row r="79" spans="3:21" x14ac:dyDescent="0.3">
      <c r="E79" s="2"/>
      <c r="F79" s="2"/>
      <c r="G79" s="2"/>
      <c r="J79" s="63"/>
      <c r="L79" s="64">
        <f>SUM(L54:L78)</f>
        <v>581</v>
      </c>
      <c r="M79" s="1"/>
      <c r="O79" s="6" t="s">
        <v>183</v>
      </c>
      <c r="P79" s="73">
        <v>-80000</v>
      </c>
      <c r="U79">
        <f>2500*62.8</f>
        <v>157000</v>
      </c>
    </row>
    <row r="80" spans="3:21" ht="15" thickBot="1" x14ac:dyDescent="0.35">
      <c r="E80" s="2"/>
      <c r="F80" s="2"/>
      <c r="G80" s="2"/>
      <c r="J80" s="68"/>
      <c r="K80" s="69"/>
      <c r="L80" s="70"/>
      <c r="M80" s="1"/>
      <c r="O80" s="6" t="s">
        <v>185</v>
      </c>
      <c r="P80" s="73"/>
    </row>
    <row r="81" spans="3:19" x14ac:dyDescent="0.3">
      <c r="E81" s="2"/>
      <c r="F81" s="110">
        <f>SUM(F69:F80)</f>
        <v>5107</v>
      </c>
      <c r="G81" s="110">
        <f>SUM(G69:G80)</f>
        <v>5160</v>
      </c>
      <c r="M81" s="1">
        <v>2600</v>
      </c>
      <c r="N81" s="1"/>
      <c r="O81" s="6" t="s">
        <v>184</v>
      </c>
      <c r="P81" s="73">
        <v>-30000</v>
      </c>
      <c r="R81" s="24"/>
    </row>
    <row r="82" spans="3:19" x14ac:dyDescent="0.3">
      <c r="F82" s="41" t="s">
        <v>89</v>
      </c>
      <c r="G82" s="125">
        <f>G81-F81</f>
        <v>53</v>
      </c>
      <c r="M82" s="1"/>
      <c r="P82" s="81">
        <f>SUM(P76:P81)</f>
        <v>231</v>
      </c>
      <c r="R82" s="24"/>
      <c r="S82" s="77"/>
    </row>
    <row r="83" spans="3:19" x14ac:dyDescent="0.3">
      <c r="C83" s="6"/>
      <c r="D83" s="6"/>
      <c r="M83" s="1"/>
    </row>
    <row r="84" spans="3:19" x14ac:dyDescent="0.3">
      <c r="C84" s="6" t="s">
        <v>240</v>
      </c>
      <c r="D84" s="89">
        <v>60000</v>
      </c>
      <c r="E84" s="6" t="s">
        <v>52</v>
      </c>
      <c r="F84" s="6" t="s">
        <v>38</v>
      </c>
      <c r="J84" s="6" t="s">
        <v>241</v>
      </c>
      <c r="K84" s="86">
        <v>1431</v>
      </c>
      <c r="L84" s="86"/>
      <c r="M84" s="1"/>
    </row>
    <row r="85" spans="3:19" x14ac:dyDescent="0.3">
      <c r="C85" s="6" t="s">
        <v>60</v>
      </c>
      <c r="D85" s="89">
        <v>80000</v>
      </c>
      <c r="E85" s="89">
        <v>30000</v>
      </c>
      <c r="F85" s="89"/>
      <c r="J85" s="6" t="s">
        <v>18</v>
      </c>
      <c r="K85" s="86">
        <v>1200</v>
      </c>
      <c r="L85" s="86"/>
      <c r="M85" s="1"/>
      <c r="N85" s="1"/>
    </row>
    <row r="86" spans="3:19" x14ac:dyDescent="0.3">
      <c r="C86" s="6" t="s">
        <v>62</v>
      </c>
      <c r="D86" s="89">
        <v>80000</v>
      </c>
      <c r="E86" s="89">
        <v>80000</v>
      </c>
      <c r="F86" s="89"/>
      <c r="N86" s="1"/>
      <c r="Q86" s="6" t="s">
        <v>383</v>
      </c>
    </row>
    <row r="87" spans="3:19" x14ac:dyDescent="0.3">
      <c r="C87" s="6" t="s">
        <v>63</v>
      </c>
      <c r="D87" s="89">
        <v>60000</v>
      </c>
      <c r="E87" s="89">
        <v>80000</v>
      </c>
      <c r="F87" s="89"/>
      <c r="K87" s="86">
        <v>32739</v>
      </c>
      <c r="N87" s="6" t="s">
        <v>372</v>
      </c>
      <c r="O87" s="89">
        <v>74000</v>
      </c>
      <c r="P87" s="124">
        <f>O87/65</f>
        <v>1138.4615384615386</v>
      </c>
      <c r="Q87" s="113">
        <f>2950-P87</f>
        <v>1811.5384615384614</v>
      </c>
    </row>
    <row r="88" spans="3:19" x14ac:dyDescent="0.3">
      <c r="C88" s="6" t="s">
        <v>26</v>
      </c>
      <c r="D88" s="89">
        <v>80000</v>
      </c>
      <c r="E88" s="89">
        <v>40000</v>
      </c>
      <c r="F88" s="89">
        <v>20000</v>
      </c>
      <c r="K88" s="86">
        <v>17408</v>
      </c>
      <c r="N88" s="6" t="s">
        <v>183</v>
      </c>
      <c r="O88" s="89">
        <v>80000</v>
      </c>
      <c r="P88" s="112">
        <v>1350</v>
      </c>
    </row>
    <row r="89" spans="3:19" x14ac:dyDescent="0.3">
      <c r="C89" s="6" t="s">
        <v>64</v>
      </c>
      <c r="D89" s="89">
        <v>80000</v>
      </c>
      <c r="E89" s="89">
        <v>80000</v>
      </c>
      <c r="F89" s="89"/>
      <c r="K89" s="86">
        <v>13200</v>
      </c>
      <c r="N89" s="6" t="s">
        <v>15</v>
      </c>
      <c r="O89" s="89">
        <v>30000</v>
      </c>
      <c r="P89" s="112">
        <v>475</v>
      </c>
    </row>
    <row r="90" spans="3:19" x14ac:dyDescent="0.3">
      <c r="E90" s="89">
        <v>80000</v>
      </c>
      <c r="F90" s="89"/>
      <c r="N90" s="1"/>
    </row>
    <row r="91" spans="3:19" x14ac:dyDescent="0.3">
      <c r="N91" s="1"/>
    </row>
    <row r="92" spans="3:19" x14ac:dyDescent="0.3">
      <c r="J92" s="1" t="s">
        <v>386</v>
      </c>
      <c r="K92" s="1"/>
      <c r="N92" s="1"/>
    </row>
    <row r="93" spans="3:19" x14ac:dyDescent="0.3">
      <c r="J93" s="1" t="s">
        <v>15</v>
      </c>
      <c r="K93" s="1">
        <v>-150</v>
      </c>
    </row>
    <row r="95" spans="3:19" x14ac:dyDescent="0.3">
      <c r="O95" s="1"/>
    </row>
    <row r="96" spans="3:19" x14ac:dyDescent="0.3">
      <c r="N96" s="1"/>
      <c r="O96" s="1"/>
    </row>
    <row r="97" spans="6:15" x14ac:dyDescent="0.3">
      <c r="N97" s="1"/>
      <c r="O97" s="1"/>
    </row>
    <row r="98" spans="6:15" x14ac:dyDescent="0.3">
      <c r="O98" s="1"/>
    </row>
    <row r="103" spans="6:15" x14ac:dyDescent="0.3">
      <c r="L103" s="1" t="s">
        <v>388</v>
      </c>
      <c r="M103" s="1">
        <v>2</v>
      </c>
      <c r="N103" s="1">
        <f>M103*8</f>
        <v>16</v>
      </c>
    </row>
    <row r="104" spans="6:15" x14ac:dyDescent="0.3">
      <c r="L104" s="1" t="s">
        <v>389</v>
      </c>
      <c r="M104" s="1">
        <v>1.5</v>
      </c>
      <c r="N104" s="1">
        <f>M104*8</f>
        <v>12</v>
      </c>
    </row>
    <row r="105" spans="6:15" x14ac:dyDescent="0.3">
      <c r="L105" s="1" t="s">
        <v>390</v>
      </c>
      <c r="M105" s="1">
        <v>2</v>
      </c>
      <c r="N105" s="1">
        <v>16</v>
      </c>
    </row>
    <row r="107" spans="6:15" x14ac:dyDescent="0.3">
      <c r="K107" s="23"/>
    </row>
    <row r="111" spans="6:15" x14ac:dyDescent="0.3">
      <c r="G111" s="1" t="s">
        <v>257</v>
      </c>
      <c r="H111" s="1" t="s">
        <v>258</v>
      </c>
    </row>
    <row r="112" spans="6:15" x14ac:dyDescent="0.3">
      <c r="F112" t="s">
        <v>259</v>
      </c>
      <c r="G112" s="1">
        <v>3.5</v>
      </c>
      <c r="H112" s="1">
        <v>5.8</v>
      </c>
    </row>
    <row r="113" spans="6:8" x14ac:dyDescent="0.3">
      <c r="F113" t="s">
        <v>260</v>
      </c>
      <c r="G113" s="1">
        <v>23.64</v>
      </c>
      <c r="H113" s="1">
        <v>24</v>
      </c>
    </row>
    <row r="114" spans="6:8" x14ac:dyDescent="0.3">
      <c r="F114" t="s">
        <v>261</v>
      </c>
      <c r="G114" s="1">
        <v>2.88</v>
      </c>
      <c r="H114" s="1">
        <v>7.7</v>
      </c>
    </row>
    <row r="115" spans="6:8" x14ac:dyDescent="0.3">
      <c r="F115" t="s">
        <v>262</v>
      </c>
      <c r="G115" s="1">
        <v>2.97</v>
      </c>
      <c r="H115" s="1">
        <v>2.8</v>
      </c>
    </row>
    <row r="116" spans="6:8" x14ac:dyDescent="0.3">
      <c r="F116" t="s">
        <v>263</v>
      </c>
      <c r="G116" s="1">
        <v>7.97</v>
      </c>
      <c r="H116" s="1">
        <v>8.9</v>
      </c>
    </row>
    <row r="117" spans="6:8" x14ac:dyDescent="0.3">
      <c r="F117" t="s">
        <v>264</v>
      </c>
      <c r="G117" s="1">
        <v>4.92</v>
      </c>
      <c r="H117" s="1">
        <v>5.5</v>
      </c>
    </row>
    <row r="118" spans="6:8" x14ac:dyDescent="0.3">
      <c r="F118" t="s">
        <v>265</v>
      </c>
      <c r="G118" s="1">
        <v>2.37</v>
      </c>
      <c r="H118" s="1">
        <v>3.15</v>
      </c>
    </row>
    <row r="119" spans="6:8" x14ac:dyDescent="0.3">
      <c r="F119" t="s">
        <v>266</v>
      </c>
      <c r="G119" s="1">
        <v>3.97</v>
      </c>
      <c r="H119" s="1">
        <v>4.62</v>
      </c>
    </row>
    <row r="120" spans="6:8" x14ac:dyDescent="0.3">
      <c r="F120" t="s">
        <v>267</v>
      </c>
      <c r="G120" s="1">
        <v>4.97</v>
      </c>
      <c r="H120" s="1">
        <v>8.8000000000000007</v>
      </c>
    </row>
    <row r="121" spans="6:8" x14ac:dyDescent="0.3">
      <c r="F121" t="s">
        <v>268</v>
      </c>
      <c r="G121" s="1">
        <v>5.97</v>
      </c>
      <c r="H121" s="1">
        <v>7</v>
      </c>
    </row>
    <row r="122" spans="6:8" x14ac:dyDescent="0.3">
      <c r="F122" t="s">
        <v>269</v>
      </c>
      <c r="G122" s="1">
        <v>9.9700000000000006</v>
      </c>
      <c r="H122" s="1">
        <v>11</v>
      </c>
    </row>
    <row r="123" spans="6:8" x14ac:dyDescent="0.3">
      <c r="F123" t="s">
        <v>270</v>
      </c>
      <c r="G123" s="1">
        <v>5</v>
      </c>
      <c r="H123" s="1"/>
    </row>
    <row r="125" spans="6:8" x14ac:dyDescent="0.3">
      <c r="G125" s="1">
        <f>SUM(G112:G124)</f>
        <v>78.13</v>
      </c>
      <c r="H125" s="1">
        <f>SUM(H112:H124)</f>
        <v>89.27</v>
      </c>
    </row>
    <row r="126" spans="6:8" x14ac:dyDescent="0.3">
      <c r="G126" s="91">
        <v>60</v>
      </c>
      <c r="H126" s="91">
        <v>169</v>
      </c>
    </row>
    <row r="137" spans="9:13" x14ac:dyDescent="0.3">
      <c r="L137" t="s">
        <v>23</v>
      </c>
    </row>
    <row r="138" spans="9:13" x14ac:dyDescent="0.3">
      <c r="I138" t="s">
        <v>23</v>
      </c>
      <c r="J138">
        <v>120000</v>
      </c>
      <c r="L138" t="s">
        <v>24</v>
      </c>
      <c r="M138" s="45">
        <v>120000</v>
      </c>
    </row>
    <row r="139" spans="9:13" x14ac:dyDescent="0.3">
      <c r="I139" t="s">
        <v>24</v>
      </c>
      <c r="J139">
        <v>90000</v>
      </c>
    </row>
    <row r="140" spans="9:13" x14ac:dyDescent="0.3">
      <c r="L140" t="s">
        <v>19</v>
      </c>
    </row>
    <row r="141" spans="9:13" x14ac:dyDescent="0.3">
      <c r="I141" t="s">
        <v>19</v>
      </c>
      <c r="J141" s="33">
        <v>-30000</v>
      </c>
      <c r="L141" t="s">
        <v>21</v>
      </c>
      <c r="M141" s="52">
        <v>-25000</v>
      </c>
    </row>
    <row r="142" spans="9:13" x14ac:dyDescent="0.3">
      <c r="I142" t="s">
        <v>21</v>
      </c>
      <c r="J142" s="33">
        <v>-2000</v>
      </c>
      <c r="L142" t="s">
        <v>22</v>
      </c>
      <c r="M142" s="52">
        <v>-2000</v>
      </c>
    </row>
    <row r="143" spans="9:13" x14ac:dyDescent="0.3">
      <c r="I143" t="s">
        <v>22</v>
      </c>
      <c r="J143" s="33">
        <v>-10900</v>
      </c>
      <c r="L143" t="s">
        <v>27</v>
      </c>
      <c r="M143" s="52">
        <v>-10900</v>
      </c>
    </row>
    <row r="144" spans="9:13" x14ac:dyDescent="0.3">
      <c r="I144" t="s">
        <v>27</v>
      </c>
      <c r="J144">
        <v>-10000</v>
      </c>
      <c r="L144" t="s">
        <v>29</v>
      </c>
      <c r="M144" s="45">
        <v>-10000</v>
      </c>
    </row>
    <row r="145" spans="9:13" x14ac:dyDescent="0.3">
      <c r="I145" t="s">
        <v>29</v>
      </c>
      <c r="J145">
        <v>10000</v>
      </c>
      <c r="L145" t="s">
        <v>46</v>
      </c>
      <c r="M145" s="45">
        <v>10000</v>
      </c>
    </row>
    <row r="146" spans="9:13" x14ac:dyDescent="0.3">
      <c r="I146" t="s">
        <v>46</v>
      </c>
      <c r="J146">
        <v>0</v>
      </c>
      <c r="L146" t="s">
        <v>53</v>
      </c>
      <c r="M146" s="45">
        <v>0</v>
      </c>
    </row>
    <row r="147" spans="9:13" x14ac:dyDescent="0.3">
      <c r="I147" t="s">
        <v>53</v>
      </c>
      <c r="J147">
        <v>-50000</v>
      </c>
      <c r="L147" t="s">
        <v>65</v>
      </c>
      <c r="M147" s="45">
        <v>-50000</v>
      </c>
    </row>
    <row r="148" spans="9:13" x14ac:dyDescent="0.3">
      <c r="I148" t="s">
        <v>65</v>
      </c>
      <c r="J148">
        <v>-5000</v>
      </c>
      <c r="L148" t="s">
        <v>66</v>
      </c>
      <c r="M148" s="45">
        <v>-5000</v>
      </c>
    </row>
    <row r="149" spans="9:13" x14ac:dyDescent="0.3">
      <c r="I149" t="s">
        <v>66</v>
      </c>
      <c r="J149">
        <v>-2000</v>
      </c>
      <c r="L149" t="s">
        <v>67</v>
      </c>
      <c r="M149" s="45">
        <v>0</v>
      </c>
    </row>
    <row r="150" spans="9:13" x14ac:dyDescent="0.3">
      <c r="I150" t="s">
        <v>67</v>
      </c>
      <c r="J150">
        <v>-3000</v>
      </c>
      <c r="L150" t="s">
        <v>68</v>
      </c>
      <c r="M150" s="45">
        <v>-3000</v>
      </c>
    </row>
    <row r="151" spans="9:13" x14ac:dyDescent="0.3">
      <c r="I151" t="s">
        <v>68</v>
      </c>
      <c r="J151">
        <v>-2000</v>
      </c>
      <c r="M151" s="45">
        <v>-2000</v>
      </c>
    </row>
    <row r="156" spans="9:13" x14ac:dyDescent="0.3">
      <c r="J156">
        <f>SUM(J138:J154)</f>
        <v>105100</v>
      </c>
      <c r="M156" s="45">
        <f>SUM(M138:M154)</f>
        <v>22100</v>
      </c>
    </row>
  </sheetData>
  <mergeCells count="8">
    <mergeCell ref="R53:S53"/>
    <mergeCell ref="J53:L53"/>
    <mergeCell ref="K21:L21"/>
    <mergeCell ref="O53:P53"/>
    <mergeCell ref="C68:D68"/>
    <mergeCell ref="C37:D37"/>
    <mergeCell ref="C39:D39"/>
    <mergeCell ref="E68:F68"/>
  </mergeCells>
  <pageMargins left="0.7" right="0.7" top="0.75" bottom="0.75" header="0.3" footer="0.3"/>
  <pageSetup orientation="portrait" r:id="rId1"/>
  <ignoredErrors>
    <ignoredError sqref="N10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B0F8-47FA-4E14-A55C-568728859758}">
  <dimension ref="A1:M25"/>
  <sheetViews>
    <sheetView zoomScaleNormal="100" workbookViewId="0">
      <selection activeCell="L12" sqref="L12"/>
    </sheetView>
  </sheetViews>
  <sheetFormatPr defaultRowHeight="14.4" x14ac:dyDescent="0.3"/>
  <cols>
    <col min="1" max="1" width="14.77734375" customWidth="1"/>
    <col min="2" max="2" width="11" bestFit="1" customWidth="1"/>
    <col min="3" max="3" width="13.44140625" bestFit="1" customWidth="1"/>
    <col min="5" max="5" width="10.77734375" customWidth="1"/>
    <col min="6" max="6" width="12.88671875" customWidth="1"/>
    <col min="11" max="11" width="9.6640625" bestFit="1" customWidth="1"/>
    <col min="12" max="12" width="9.6640625" customWidth="1"/>
    <col min="13" max="13" width="16.6640625" customWidth="1"/>
    <col min="15" max="15" width="13.77734375" customWidth="1"/>
  </cols>
  <sheetData>
    <row r="1" spans="1:13" x14ac:dyDescent="0.3">
      <c r="A1" s="118" t="s">
        <v>371</v>
      </c>
      <c r="B1" s="111">
        <v>10000</v>
      </c>
      <c r="E1" s="6" t="s">
        <v>372</v>
      </c>
      <c r="F1" s="89">
        <v>74000</v>
      </c>
      <c r="G1" s="112">
        <v>1175</v>
      </c>
      <c r="K1" s="2" t="s">
        <v>160</v>
      </c>
      <c r="L1" s="112">
        <v>2000</v>
      </c>
      <c r="M1" s="116">
        <f>2000*63</f>
        <v>126000</v>
      </c>
    </row>
    <row r="2" spans="1:13" x14ac:dyDescent="0.3">
      <c r="A2" s="2"/>
      <c r="B2" s="111"/>
      <c r="D2" s="62"/>
      <c r="E2" s="6" t="s">
        <v>183</v>
      </c>
      <c r="F2" s="89">
        <v>80000</v>
      </c>
      <c r="G2" s="112">
        <v>1350</v>
      </c>
      <c r="K2" s="2" t="s">
        <v>374</v>
      </c>
      <c r="L2" s="112">
        <v>1286</v>
      </c>
      <c r="M2" s="116">
        <f>1286*63</f>
        <v>81018</v>
      </c>
    </row>
    <row r="3" spans="1:13" x14ac:dyDescent="0.3">
      <c r="A3" s="2" t="s">
        <v>56</v>
      </c>
      <c r="B3" s="111">
        <v>-1775</v>
      </c>
      <c r="D3" s="62"/>
      <c r="E3" s="6" t="s">
        <v>15</v>
      </c>
      <c r="F3" s="89">
        <v>30000</v>
      </c>
      <c r="G3" s="112">
        <v>475</v>
      </c>
      <c r="K3" s="2" t="s">
        <v>8</v>
      </c>
      <c r="L3" s="2"/>
      <c r="M3" s="117">
        <f>SUM(M1:M2)</f>
        <v>207018</v>
      </c>
    </row>
    <row r="4" spans="1:13" x14ac:dyDescent="0.3">
      <c r="A4" s="2" t="s">
        <v>151</v>
      </c>
      <c r="B4" s="111">
        <v>-1500</v>
      </c>
      <c r="D4" s="13"/>
    </row>
    <row r="5" spans="1:13" x14ac:dyDescent="0.3">
      <c r="A5" s="2" t="s">
        <v>153</v>
      </c>
      <c r="B5" s="111">
        <v>-1500</v>
      </c>
      <c r="E5" s="6" t="s">
        <v>375</v>
      </c>
      <c r="F5" s="89">
        <v>150000</v>
      </c>
      <c r="K5" s="136" t="s">
        <v>377</v>
      </c>
      <c r="L5" s="136"/>
      <c r="M5" s="24"/>
    </row>
    <row r="6" spans="1:13" x14ac:dyDescent="0.3">
      <c r="A6" s="2" t="s">
        <v>59</v>
      </c>
      <c r="B6" s="111">
        <v>-1500</v>
      </c>
      <c r="E6" s="6" t="s">
        <v>376</v>
      </c>
      <c r="F6" s="89">
        <v>-74000</v>
      </c>
      <c r="K6" s="120">
        <v>45992</v>
      </c>
      <c r="L6" s="112">
        <v>3000</v>
      </c>
    </row>
    <row r="7" spans="1:13" x14ac:dyDescent="0.3">
      <c r="A7" s="2" t="s">
        <v>154</v>
      </c>
      <c r="B7" s="111">
        <v>-1500</v>
      </c>
      <c r="E7" s="6" t="s">
        <v>385</v>
      </c>
      <c r="F7" s="89">
        <v>-74000</v>
      </c>
      <c r="G7" s="23"/>
      <c r="K7" s="120">
        <v>46023</v>
      </c>
      <c r="L7" s="112">
        <v>2950</v>
      </c>
    </row>
    <row r="8" spans="1:13" x14ac:dyDescent="0.3">
      <c r="A8" s="2" t="s">
        <v>155</v>
      </c>
      <c r="B8" s="111">
        <v>-1500</v>
      </c>
      <c r="E8" s="119" t="s">
        <v>89</v>
      </c>
      <c r="F8" s="117">
        <f>SUM(F5:F7)</f>
        <v>2000</v>
      </c>
    </row>
    <row r="9" spans="1:13" x14ac:dyDescent="0.3">
      <c r="A9" s="2"/>
      <c r="B9" s="2"/>
    </row>
    <row r="10" spans="1:13" x14ac:dyDescent="0.3">
      <c r="A10" s="2" t="s">
        <v>8</v>
      </c>
      <c r="B10" s="20">
        <f>SUM(B1:B9)</f>
        <v>725</v>
      </c>
      <c r="F10" s="89">
        <v>3991</v>
      </c>
      <c r="K10" s="6"/>
      <c r="L10" s="121" t="s">
        <v>15</v>
      </c>
      <c r="M10" s="121" t="s">
        <v>40</v>
      </c>
    </row>
    <row r="11" spans="1:13" x14ac:dyDescent="0.3">
      <c r="K11" s="6" t="s">
        <v>375</v>
      </c>
      <c r="L11" s="116">
        <f>63155-32739-15969-12000</f>
        <v>2447</v>
      </c>
      <c r="M11" s="116"/>
    </row>
    <row r="12" spans="1:13" x14ac:dyDescent="0.3">
      <c r="A12" s="2"/>
      <c r="B12" s="10" t="s">
        <v>183</v>
      </c>
      <c r="C12" s="115" t="s">
        <v>15</v>
      </c>
      <c r="K12" s="6" t="s">
        <v>378</v>
      </c>
      <c r="L12" s="116">
        <f>31785-14000-13500</f>
        <v>4285</v>
      </c>
      <c r="M12" s="116">
        <v>85116</v>
      </c>
    </row>
    <row r="13" spans="1:13" x14ac:dyDescent="0.3">
      <c r="A13" s="80" t="s">
        <v>60</v>
      </c>
      <c r="B13" s="112">
        <v>1350</v>
      </c>
      <c r="C13" s="112">
        <f>475+225</f>
        <v>700</v>
      </c>
    </row>
    <row r="14" spans="1:13" x14ac:dyDescent="0.3">
      <c r="A14" s="80" t="s">
        <v>62</v>
      </c>
      <c r="B14" s="112">
        <v>1350</v>
      </c>
      <c r="C14" s="112">
        <f t="shared" ref="C14:C17" si="0">475+225</f>
        <v>700</v>
      </c>
      <c r="L14" s="23"/>
    </row>
    <row r="15" spans="1:13" x14ac:dyDescent="0.3">
      <c r="A15" s="80" t="s">
        <v>63</v>
      </c>
      <c r="B15" s="112">
        <v>1350</v>
      </c>
      <c r="C15" s="112">
        <f t="shared" si="0"/>
        <v>700</v>
      </c>
    </row>
    <row r="16" spans="1:13" x14ac:dyDescent="0.3">
      <c r="A16" s="80" t="s">
        <v>26</v>
      </c>
      <c r="B16" s="112">
        <v>1350</v>
      </c>
      <c r="C16" s="112">
        <f t="shared" si="0"/>
        <v>700</v>
      </c>
      <c r="F16" s="32"/>
    </row>
    <row r="17" spans="1:6" x14ac:dyDescent="0.3">
      <c r="A17" s="80" t="s">
        <v>64</v>
      </c>
      <c r="B17" s="112">
        <v>1350</v>
      </c>
      <c r="C17" s="112">
        <f t="shared" si="0"/>
        <v>700</v>
      </c>
      <c r="F17" s="30"/>
    </row>
    <row r="18" spans="1:6" x14ac:dyDescent="0.3">
      <c r="A18" s="80" t="s">
        <v>76</v>
      </c>
      <c r="B18" s="112">
        <v>1350</v>
      </c>
      <c r="C18" s="112">
        <v>425</v>
      </c>
    </row>
    <row r="19" spans="1:6" x14ac:dyDescent="0.3">
      <c r="A19" s="80" t="s">
        <v>56</v>
      </c>
      <c r="B19" s="112">
        <v>1350</v>
      </c>
      <c r="C19" s="112">
        <v>425</v>
      </c>
    </row>
    <row r="20" spans="1:6" x14ac:dyDescent="0.3">
      <c r="A20" s="80" t="s">
        <v>151</v>
      </c>
      <c r="B20" s="112">
        <v>1350</v>
      </c>
      <c r="C20" s="112">
        <v>425</v>
      </c>
    </row>
    <row r="21" spans="1:6" x14ac:dyDescent="0.3">
      <c r="A21" s="80" t="s">
        <v>153</v>
      </c>
      <c r="B21" s="112">
        <v>1350</v>
      </c>
      <c r="C21" s="112">
        <v>425</v>
      </c>
    </row>
    <row r="22" spans="1:6" x14ac:dyDescent="0.3">
      <c r="A22" s="80" t="s">
        <v>59</v>
      </c>
      <c r="B22" s="112">
        <v>1350</v>
      </c>
      <c r="C22" s="112">
        <v>425</v>
      </c>
    </row>
    <row r="23" spans="1:6" x14ac:dyDescent="0.3">
      <c r="A23" s="80" t="s">
        <v>154</v>
      </c>
      <c r="B23" s="112">
        <v>1350</v>
      </c>
      <c r="C23" s="112">
        <v>425</v>
      </c>
    </row>
    <row r="24" spans="1:6" x14ac:dyDescent="0.3">
      <c r="A24" s="80" t="s">
        <v>8</v>
      </c>
      <c r="B24" s="113">
        <f>SUM(B13:B23)</f>
        <v>14850</v>
      </c>
      <c r="C24" s="113">
        <f>SUM(C13:C23)</f>
        <v>6050</v>
      </c>
    </row>
    <row r="25" spans="1:6" x14ac:dyDescent="0.3">
      <c r="A25" s="80" t="s">
        <v>373</v>
      </c>
      <c r="B25" s="114">
        <f>B24*64</f>
        <v>950400</v>
      </c>
      <c r="C25" s="114">
        <f>C24*64</f>
        <v>387200</v>
      </c>
    </row>
  </sheetData>
  <mergeCells count="1">
    <mergeCell ref="K5:L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4FEB-FE65-438D-B005-B25E033D8877}">
  <dimension ref="A1:U104"/>
  <sheetViews>
    <sheetView topLeftCell="A69" zoomScale="85" zoomScaleNormal="85" workbookViewId="0">
      <selection activeCell="I73" sqref="I73:K73"/>
    </sheetView>
  </sheetViews>
  <sheetFormatPr defaultRowHeight="14.4" x14ac:dyDescent="0.3"/>
  <cols>
    <col min="1" max="1" width="12.77734375" bestFit="1" customWidth="1"/>
    <col min="2" max="2" width="13.109375" bestFit="1" customWidth="1"/>
    <col min="3" max="3" width="12.44140625" bestFit="1" customWidth="1"/>
    <col min="6" max="6" width="13.88671875" customWidth="1"/>
    <col min="7" max="7" width="16.44140625" bestFit="1" customWidth="1"/>
    <col min="8" max="8" width="14.5546875" bestFit="1" customWidth="1"/>
    <col min="9" max="9" width="13.21875" bestFit="1" customWidth="1"/>
    <col min="10" max="10" width="16.109375" customWidth="1"/>
    <col min="11" max="11" width="15.77734375" customWidth="1"/>
    <col min="12" max="12" width="14.5546875" bestFit="1" customWidth="1"/>
    <col min="13" max="13" width="13.88671875" bestFit="1" customWidth="1"/>
    <col min="14" max="14" width="13.21875" bestFit="1" customWidth="1"/>
    <col min="15" max="15" width="13" customWidth="1"/>
    <col min="16" max="16" width="11.5546875" customWidth="1"/>
    <col min="17" max="18" width="14.88671875" bestFit="1" customWidth="1"/>
    <col min="19" max="19" width="24.5546875" bestFit="1" customWidth="1"/>
    <col min="20" max="20" width="11.77734375" bestFit="1" customWidth="1"/>
    <col min="21" max="21" width="13.33203125" bestFit="1" customWidth="1"/>
  </cols>
  <sheetData>
    <row r="1" spans="1:21" x14ac:dyDescent="0.3">
      <c r="A1" s="9" t="s">
        <v>17</v>
      </c>
      <c r="B1" t="s">
        <v>9</v>
      </c>
      <c r="C1" s="13">
        <f>100000-28000</f>
        <v>72000</v>
      </c>
      <c r="E1" t="s">
        <v>23</v>
      </c>
      <c r="F1" s="11" t="s">
        <v>18</v>
      </c>
      <c r="G1" t="s">
        <v>15</v>
      </c>
      <c r="H1" s="19">
        <f>C14*62</f>
        <v>94302</v>
      </c>
      <c r="J1" t="s">
        <v>24</v>
      </c>
      <c r="K1" s="13">
        <v>2500</v>
      </c>
      <c r="L1" s="32">
        <f>K1*61</f>
        <v>152500</v>
      </c>
      <c r="N1" s="18">
        <v>45245</v>
      </c>
      <c r="O1" s="23">
        <v>60000</v>
      </c>
      <c r="P1" t="s">
        <v>51</v>
      </c>
      <c r="S1" s="28"/>
      <c r="T1" s="28"/>
      <c r="U1" s="28"/>
    </row>
    <row r="2" spans="1:21" x14ac:dyDescent="0.3">
      <c r="N2" s="18">
        <v>45254</v>
      </c>
      <c r="O2" s="23">
        <v>60000</v>
      </c>
      <c r="U2" s="18"/>
    </row>
    <row r="3" spans="1:21" x14ac:dyDescent="0.3">
      <c r="B3" s="2" t="s">
        <v>16</v>
      </c>
      <c r="C3" s="20">
        <v>5445</v>
      </c>
      <c r="G3" t="s">
        <v>19</v>
      </c>
      <c r="H3" s="33">
        <v>-45000</v>
      </c>
      <c r="N3" s="22"/>
      <c r="O3" s="23"/>
      <c r="U3" s="18"/>
    </row>
    <row r="4" spans="1:21" x14ac:dyDescent="0.3">
      <c r="B4" s="2" t="s">
        <v>10</v>
      </c>
      <c r="C4" s="6">
        <v>-2200</v>
      </c>
      <c r="G4" t="s">
        <v>21</v>
      </c>
      <c r="H4" s="33">
        <v>-2000</v>
      </c>
      <c r="J4" t="s">
        <v>50</v>
      </c>
      <c r="N4" s="22"/>
      <c r="O4" s="23"/>
      <c r="U4" s="18"/>
    </row>
    <row r="5" spans="1:21" x14ac:dyDescent="0.3">
      <c r="B5" s="2" t="s">
        <v>11</v>
      </c>
      <c r="C5" s="6">
        <v>-50</v>
      </c>
      <c r="G5" t="s">
        <v>22</v>
      </c>
      <c r="H5" s="33">
        <v>-10900</v>
      </c>
    </row>
    <row r="6" spans="1:21" x14ac:dyDescent="0.3">
      <c r="B6" s="2" t="s">
        <v>12</v>
      </c>
      <c r="C6" s="6">
        <v>-500</v>
      </c>
      <c r="G6" t="s">
        <v>27</v>
      </c>
      <c r="H6">
        <v>-10000</v>
      </c>
      <c r="U6" s="18"/>
    </row>
    <row r="7" spans="1:21" x14ac:dyDescent="0.3">
      <c r="B7" s="2" t="s">
        <v>13</v>
      </c>
      <c r="C7" s="6">
        <f>-40-40-60</f>
        <v>-140</v>
      </c>
      <c r="G7" t="s">
        <v>29</v>
      </c>
      <c r="H7">
        <v>10000</v>
      </c>
      <c r="U7" s="18"/>
    </row>
    <row r="8" spans="1:21" x14ac:dyDescent="0.3">
      <c r="B8" s="2" t="s">
        <v>14</v>
      </c>
      <c r="C8" s="6">
        <v>-200</v>
      </c>
      <c r="G8" t="s">
        <v>46</v>
      </c>
      <c r="H8">
        <v>6000</v>
      </c>
      <c r="R8">
        <v>124</v>
      </c>
    </row>
    <row r="9" spans="1:21" x14ac:dyDescent="0.3">
      <c r="B9" s="2" t="s">
        <v>41</v>
      </c>
      <c r="C9" s="6"/>
      <c r="K9" s="26"/>
      <c r="R9">
        <v>62</v>
      </c>
    </row>
    <row r="10" spans="1:21" x14ac:dyDescent="0.3">
      <c r="B10" s="2" t="s">
        <v>28</v>
      </c>
      <c r="C10" s="6"/>
      <c r="N10" s="22"/>
      <c r="O10" s="23"/>
      <c r="R10">
        <v>62</v>
      </c>
    </row>
    <row r="11" spans="1:21" x14ac:dyDescent="0.3">
      <c r="B11" s="2" t="s">
        <v>30</v>
      </c>
      <c r="C11" s="6">
        <v>-834</v>
      </c>
      <c r="N11" s="22"/>
      <c r="O11" s="23"/>
      <c r="R11">
        <v>80</v>
      </c>
    </row>
    <row r="12" spans="1:21" x14ac:dyDescent="0.3">
      <c r="C12" s="29"/>
      <c r="N12" s="22" t="s">
        <v>47</v>
      </c>
      <c r="O12" s="23"/>
    </row>
    <row r="13" spans="1:21" x14ac:dyDescent="0.3">
      <c r="N13" s="22"/>
      <c r="O13" s="23"/>
    </row>
    <row r="14" spans="1:21" x14ac:dyDescent="0.3">
      <c r="B14" s="10" t="s">
        <v>15</v>
      </c>
      <c r="C14" s="12">
        <f>SUM(C3:C13)</f>
        <v>1521</v>
      </c>
      <c r="G14" s="15" t="s">
        <v>20</v>
      </c>
      <c r="H14" s="16">
        <f>SUM(H1:H13)</f>
        <v>42402</v>
      </c>
      <c r="J14" s="15" t="s">
        <v>20</v>
      </c>
      <c r="K14" s="12">
        <f>SUM(K1:K13)</f>
        <v>2500</v>
      </c>
      <c r="L14" s="14">
        <f>K14*60</f>
        <v>150000</v>
      </c>
      <c r="N14" s="22"/>
      <c r="O14" s="23"/>
      <c r="S14" s="23"/>
    </row>
    <row r="15" spans="1:21" x14ac:dyDescent="0.3">
      <c r="N15" s="22"/>
      <c r="O15" s="23"/>
      <c r="T15" s="28"/>
    </row>
    <row r="16" spans="1:21" x14ac:dyDescent="0.3">
      <c r="N16" s="22"/>
    </row>
    <row r="17" spans="1:21" x14ac:dyDescent="0.3">
      <c r="C17" s="21">
        <f>C14*62</f>
        <v>94302</v>
      </c>
      <c r="H17" s="17" t="s">
        <v>25</v>
      </c>
      <c r="I17" s="17"/>
      <c r="J17" s="21">
        <f>L14+H14</f>
        <v>192402</v>
      </c>
      <c r="L17" s="26">
        <f>47000/12</f>
        <v>3916.6666666666665</v>
      </c>
      <c r="N17" s="30"/>
      <c r="O17" s="23">
        <v>3050</v>
      </c>
      <c r="T17" s="28"/>
      <c r="U17" s="23"/>
    </row>
    <row r="18" spans="1:21" x14ac:dyDescent="0.3">
      <c r="C18" s="19"/>
      <c r="L18" s="26">
        <f>L17-1600-1000</f>
        <v>1316.6666666666665</v>
      </c>
      <c r="N18" s="18">
        <v>45231</v>
      </c>
      <c r="O18">
        <v>-2225</v>
      </c>
      <c r="T18" s="23"/>
    </row>
    <row r="19" spans="1:21" x14ac:dyDescent="0.3">
      <c r="A19" t="s">
        <v>31</v>
      </c>
      <c r="F19" t="s">
        <v>40</v>
      </c>
      <c r="G19" s="23">
        <v>1206414</v>
      </c>
      <c r="J19">
        <f>109900*30%</f>
        <v>32970</v>
      </c>
      <c r="M19" s="24"/>
      <c r="N19" s="18">
        <v>45233</v>
      </c>
      <c r="O19" s="23">
        <v>2300</v>
      </c>
    </row>
    <row r="20" spans="1:21" x14ac:dyDescent="0.3">
      <c r="A20" t="s">
        <v>32</v>
      </c>
      <c r="B20" s="27">
        <v>200000</v>
      </c>
      <c r="C20" s="1" t="s">
        <v>34</v>
      </c>
      <c r="D20" s="1">
        <v>550000</v>
      </c>
      <c r="F20" t="s">
        <v>42</v>
      </c>
      <c r="G20" s="23">
        <v>68187</v>
      </c>
      <c r="H20" t="s">
        <v>45</v>
      </c>
      <c r="J20" s="24">
        <f>109900-J19</f>
        <v>76930</v>
      </c>
      <c r="N20" s="18">
        <v>45247</v>
      </c>
      <c r="O20" s="23">
        <v>2300</v>
      </c>
    </row>
    <row r="21" spans="1:21" x14ac:dyDescent="0.3">
      <c r="A21" t="s">
        <v>33</v>
      </c>
      <c r="B21">
        <v>0</v>
      </c>
      <c r="F21" t="s">
        <v>43</v>
      </c>
      <c r="G21" s="23">
        <v>5384</v>
      </c>
      <c r="J21" s="24">
        <f>J20/12</f>
        <v>6410.833333333333</v>
      </c>
      <c r="N21" s="18">
        <v>45261</v>
      </c>
      <c r="O21" s="23">
        <v>2300</v>
      </c>
    </row>
    <row r="22" spans="1:21" x14ac:dyDescent="0.3">
      <c r="A22" t="s">
        <v>35</v>
      </c>
      <c r="B22">
        <v>412000</v>
      </c>
      <c r="F22" t="s">
        <v>44</v>
      </c>
      <c r="H22" s="14"/>
      <c r="J22" s="24">
        <f>J21+300</f>
        <v>6710.833333333333</v>
      </c>
      <c r="L22" s="26"/>
      <c r="N22" s="18">
        <v>45261</v>
      </c>
      <c r="O22" s="23">
        <v>-2225</v>
      </c>
    </row>
    <row r="23" spans="1:21" x14ac:dyDescent="0.3">
      <c r="A23" t="s">
        <v>36</v>
      </c>
      <c r="C23" s="24"/>
      <c r="G23" s="31">
        <f>SUM(G19:G22)</f>
        <v>1279985</v>
      </c>
      <c r="J23" s="24">
        <f>J22/2</f>
        <v>3355.4166666666665</v>
      </c>
      <c r="K23" s="26"/>
      <c r="L23" s="26"/>
      <c r="N23" t="s">
        <v>12</v>
      </c>
      <c r="O23" s="23">
        <v>-400</v>
      </c>
    </row>
    <row r="24" spans="1:21" x14ac:dyDescent="0.3">
      <c r="A24" t="s">
        <v>37</v>
      </c>
      <c r="J24" s="26"/>
      <c r="K24" s="26"/>
      <c r="N24" t="s">
        <v>49</v>
      </c>
      <c r="O24" s="23">
        <v>-200</v>
      </c>
    </row>
    <row r="25" spans="1:21" x14ac:dyDescent="0.3">
      <c r="A25" t="s">
        <v>38</v>
      </c>
      <c r="B25">
        <v>0</v>
      </c>
      <c r="J25" s="26"/>
      <c r="N25" t="s">
        <v>52</v>
      </c>
      <c r="O25" s="23">
        <v>-1500</v>
      </c>
    </row>
    <row r="26" spans="1:21" x14ac:dyDescent="0.3">
      <c r="A26" t="s">
        <v>39</v>
      </c>
      <c r="J26" s="26"/>
    </row>
    <row r="27" spans="1:21" x14ac:dyDescent="0.3">
      <c r="A27" t="s">
        <v>48</v>
      </c>
      <c r="B27">
        <v>200000</v>
      </c>
    </row>
    <row r="28" spans="1:21" x14ac:dyDescent="0.3">
      <c r="N28" s="25"/>
      <c r="O28" s="25">
        <f>SUM(O17:O27)</f>
        <v>3400</v>
      </c>
    </row>
    <row r="29" spans="1:21" x14ac:dyDescent="0.3">
      <c r="O29" s="23"/>
    </row>
    <row r="30" spans="1:21" x14ac:dyDescent="0.3">
      <c r="B30">
        <f>SUM(B20:B28)</f>
        <v>812000</v>
      </c>
      <c r="N30" s="18"/>
      <c r="O30" s="23"/>
    </row>
    <row r="31" spans="1:21" x14ac:dyDescent="0.3">
      <c r="M31" s="18"/>
      <c r="O31" s="23"/>
    </row>
    <row r="33" spans="2:18" ht="15" thickBot="1" x14ac:dyDescent="0.35"/>
    <row r="34" spans="2:18" ht="15" thickBot="1" x14ac:dyDescent="0.35">
      <c r="I34" s="138" t="s">
        <v>161</v>
      </c>
      <c r="J34" s="139"/>
      <c r="K34" s="140"/>
      <c r="N34" s="128" t="s">
        <v>186</v>
      </c>
      <c r="O34" s="129"/>
      <c r="Q34" s="128" t="s">
        <v>218</v>
      </c>
      <c r="R34" s="129"/>
    </row>
    <row r="35" spans="2:18" x14ac:dyDescent="0.3">
      <c r="I35" s="63" t="s">
        <v>89</v>
      </c>
      <c r="J35" s="1"/>
      <c r="K35" s="64">
        <v>100</v>
      </c>
      <c r="N35" s="2" t="s">
        <v>186</v>
      </c>
      <c r="O35" s="73">
        <v>22000</v>
      </c>
      <c r="Q35" s="2" t="s">
        <v>220</v>
      </c>
      <c r="R35" s="87">
        <v>3600000</v>
      </c>
    </row>
    <row r="36" spans="2:18" x14ac:dyDescent="0.3">
      <c r="B36" s="82" t="s">
        <v>214</v>
      </c>
      <c r="C36" s="83" t="s">
        <v>215</v>
      </c>
      <c r="D36" s="83" t="s">
        <v>52</v>
      </c>
      <c r="I36" s="63" t="s">
        <v>12</v>
      </c>
      <c r="J36" s="39"/>
      <c r="K36" s="64"/>
      <c r="N36" s="2" t="s">
        <v>186</v>
      </c>
      <c r="O36" s="73">
        <v>20000</v>
      </c>
      <c r="Q36" s="2" t="s">
        <v>221</v>
      </c>
      <c r="R36" s="87">
        <v>-3431000</v>
      </c>
    </row>
    <row r="37" spans="2:18" x14ac:dyDescent="0.3">
      <c r="B37" s="80" t="s">
        <v>173</v>
      </c>
      <c r="C37" s="73">
        <v>2268543</v>
      </c>
      <c r="D37" s="73">
        <v>15969</v>
      </c>
      <c r="I37" s="65" t="s">
        <v>84</v>
      </c>
      <c r="J37" s="39">
        <v>45930</v>
      </c>
      <c r="K37" s="64">
        <v>3445</v>
      </c>
      <c r="L37" s="1"/>
      <c r="N37" s="2" t="s">
        <v>186</v>
      </c>
      <c r="O37" s="73">
        <v>75000</v>
      </c>
      <c r="Q37" s="2" t="s">
        <v>186</v>
      </c>
      <c r="R37" s="86">
        <f>O49</f>
        <v>570000</v>
      </c>
    </row>
    <row r="38" spans="2:18" x14ac:dyDescent="0.3">
      <c r="B38" s="80" t="s">
        <v>173</v>
      </c>
      <c r="C38" s="73">
        <v>3593645</v>
      </c>
      <c r="D38" s="73">
        <v>32739</v>
      </c>
      <c r="I38" s="63" t="s">
        <v>10</v>
      </c>
      <c r="J38" s="39">
        <v>45931</v>
      </c>
      <c r="K38" s="71">
        <v>-2275</v>
      </c>
      <c r="N38" s="2" t="s">
        <v>186</v>
      </c>
      <c r="O38" s="73">
        <v>12000</v>
      </c>
      <c r="Q38" s="2" t="s">
        <v>227</v>
      </c>
      <c r="R38" s="87">
        <v>25000</v>
      </c>
    </row>
    <row r="39" spans="2:18" x14ac:dyDescent="0.3">
      <c r="B39" s="80" t="s">
        <v>213</v>
      </c>
      <c r="C39" s="73">
        <v>1300000</v>
      </c>
      <c r="D39" s="73">
        <v>13200</v>
      </c>
      <c r="I39" s="63" t="s">
        <v>251</v>
      </c>
      <c r="J39" s="39">
        <v>45931</v>
      </c>
      <c r="K39" s="64">
        <v>-200</v>
      </c>
      <c r="M39" s="1"/>
      <c r="N39" s="2" t="s">
        <v>186</v>
      </c>
      <c r="O39" s="73">
        <v>73000</v>
      </c>
      <c r="Q39" s="2" t="s">
        <v>223</v>
      </c>
      <c r="R39" s="86">
        <f>-450000</f>
        <v>-450000</v>
      </c>
    </row>
    <row r="40" spans="2:18" x14ac:dyDescent="0.3">
      <c r="B40" s="6"/>
      <c r="C40" s="81">
        <f>SUM(C37:C39)</f>
        <v>7162188</v>
      </c>
      <c r="D40" s="81">
        <f>SUM(D37:D39)</f>
        <v>61908</v>
      </c>
      <c r="I40" s="63" t="s">
        <v>12</v>
      </c>
      <c r="J40" s="39">
        <v>45931</v>
      </c>
      <c r="K40" s="71">
        <v>-200</v>
      </c>
      <c r="M40" s="1"/>
      <c r="N40" s="2" t="s">
        <v>186</v>
      </c>
      <c r="O40" s="73">
        <v>25000</v>
      </c>
      <c r="Q40" s="80" t="s">
        <v>219</v>
      </c>
      <c r="R40" s="86">
        <f>-2170*86</f>
        <v>-186620</v>
      </c>
    </row>
    <row r="41" spans="2:18" x14ac:dyDescent="0.3">
      <c r="I41" s="63" t="s">
        <v>190</v>
      </c>
      <c r="J41" s="39">
        <v>45933</v>
      </c>
      <c r="K41" s="71"/>
      <c r="M41" s="1"/>
      <c r="N41" s="2" t="s">
        <v>186</v>
      </c>
      <c r="O41" s="73">
        <v>125000</v>
      </c>
      <c r="Q41" s="2" t="s">
        <v>228</v>
      </c>
      <c r="R41" s="86">
        <v>-50000</v>
      </c>
    </row>
    <row r="42" spans="2:18" x14ac:dyDescent="0.3">
      <c r="I42" s="63" t="s">
        <v>80</v>
      </c>
      <c r="J42" s="39">
        <v>45933</v>
      </c>
      <c r="K42" s="71">
        <v>-134</v>
      </c>
      <c r="N42" s="2" t="s">
        <v>191</v>
      </c>
      <c r="O42" s="73">
        <v>22000</v>
      </c>
      <c r="Q42" s="2" t="s">
        <v>229</v>
      </c>
      <c r="R42" s="86">
        <v>-55000</v>
      </c>
    </row>
    <row r="43" spans="2:18" x14ac:dyDescent="0.3">
      <c r="B43" s="99"/>
      <c r="C43" s="6">
        <v>400</v>
      </c>
      <c r="I43" s="63" t="s">
        <v>174</v>
      </c>
      <c r="J43" s="39">
        <v>45933</v>
      </c>
      <c r="K43" s="71">
        <v>-11</v>
      </c>
      <c r="L43" s="1"/>
      <c r="M43" s="1"/>
      <c r="N43" s="2" t="s">
        <v>188</v>
      </c>
      <c r="O43" s="73">
        <v>105000</v>
      </c>
      <c r="Q43" s="2"/>
      <c r="R43" s="2"/>
    </row>
    <row r="44" spans="2:18" x14ac:dyDescent="0.3">
      <c r="B44" s="99" t="s">
        <v>322</v>
      </c>
      <c r="C44" s="6">
        <v>-110</v>
      </c>
      <c r="I44" s="63" t="s">
        <v>78</v>
      </c>
      <c r="J44" s="39">
        <v>45935</v>
      </c>
      <c r="K44" s="71">
        <v>-45</v>
      </c>
      <c r="L44" s="1"/>
      <c r="N44" s="2" t="s">
        <v>207</v>
      </c>
      <c r="O44" s="74">
        <v>6000</v>
      </c>
      <c r="Q44" s="2"/>
      <c r="R44" s="2"/>
    </row>
    <row r="45" spans="2:18" x14ac:dyDescent="0.3">
      <c r="B45" s="6" t="s">
        <v>323</v>
      </c>
      <c r="C45" s="6">
        <v>-135</v>
      </c>
      <c r="I45" s="63" t="s">
        <v>79</v>
      </c>
      <c r="J45" s="39">
        <v>45934</v>
      </c>
      <c r="K45" s="71">
        <v>-58</v>
      </c>
      <c r="M45" s="1"/>
      <c r="N45" s="2" t="s">
        <v>208</v>
      </c>
      <c r="O45" s="74">
        <v>25000</v>
      </c>
      <c r="Q45" s="2"/>
      <c r="R45" s="2"/>
    </row>
    <row r="46" spans="2:18" x14ac:dyDescent="0.3">
      <c r="B46" s="6" t="s">
        <v>324</v>
      </c>
      <c r="C46" s="6">
        <v>-120</v>
      </c>
      <c r="I46" s="63" t="s">
        <v>82</v>
      </c>
      <c r="J46" s="39">
        <v>45945</v>
      </c>
      <c r="K46" s="71"/>
      <c r="M46" s="1"/>
      <c r="N46" s="2" t="s">
        <v>216</v>
      </c>
      <c r="O46" s="74">
        <v>30000</v>
      </c>
      <c r="Q46" s="2"/>
      <c r="R46" s="2"/>
    </row>
    <row r="47" spans="2:18" x14ac:dyDescent="0.3">
      <c r="B47" s="6" t="s">
        <v>325</v>
      </c>
      <c r="C47" s="6">
        <v>-120</v>
      </c>
      <c r="I47" s="63" t="s">
        <v>86</v>
      </c>
      <c r="K47" s="64">
        <v>-60</v>
      </c>
      <c r="L47" s="1"/>
      <c r="M47" s="1"/>
      <c r="N47" s="2" t="s">
        <v>217</v>
      </c>
      <c r="O47" s="74">
        <v>30000</v>
      </c>
      <c r="Q47" s="2"/>
      <c r="R47" s="2"/>
    </row>
    <row r="48" spans="2:18" x14ac:dyDescent="0.3">
      <c r="I48" s="63" t="s">
        <v>50</v>
      </c>
      <c r="K48" s="64">
        <v>-40</v>
      </c>
    </row>
    <row r="49" spans="3:18" x14ac:dyDescent="0.3">
      <c r="I49" s="65" t="s">
        <v>84</v>
      </c>
      <c r="J49" s="39">
        <v>45945</v>
      </c>
      <c r="K49" s="64">
        <v>3460</v>
      </c>
      <c r="N49" s="2" t="s">
        <v>189</v>
      </c>
      <c r="O49" s="73">
        <f>SUM(O35:O48)</f>
        <v>570000</v>
      </c>
      <c r="Q49" s="2" t="s">
        <v>189</v>
      </c>
      <c r="R49" s="73">
        <f>SUM(R35:R48)</f>
        <v>22380</v>
      </c>
    </row>
    <row r="50" spans="3:18" x14ac:dyDescent="0.3">
      <c r="I50" s="63" t="s">
        <v>81</v>
      </c>
      <c r="J50" s="39">
        <v>45945</v>
      </c>
      <c r="K50" s="64">
        <v>-150</v>
      </c>
    </row>
    <row r="51" spans="3:18" x14ac:dyDescent="0.3">
      <c r="I51" s="63" t="s">
        <v>82</v>
      </c>
      <c r="J51" s="39">
        <v>45945</v>
      </c>
      <c r="K51" s="71"/>
      <c r="L51" s="1"/>
    </row>
    <row r="52" spans="3:18" x14ac:dyDescent="0.3">
      <c r="I52" s="63" t="s">
        <v>12</v>
      </c>
      <c r="J52" s="39">
        <v>45945</v>
      </c>
      <c r="K52" s="64">
        <v>-200</v>
      </c>
      <c r="M52" s="1"/>
    </row>
    <row r="53" spans="3:18" x14ac:dyDescent="0.3">
      <c r="I53" s="63" t="s">
        <v>83</v>
      </c>
      <c r="J53" s="39">
        <v>45945</v>
      </c>
      <c r="K53" s="64">
        <v>-1500</v>
      </c>
      <c r="M53" s="1"/>
      <c r="N53" s="6" t="s">
        <v>84</v>
      </c>
      <c r="O53" s="73">
        <f>3100*63</f>
        <v>195300</v>
      </c>
      <c r="Q53" s="85" t="s">
        <v>224</v>
      </c>
      <c r="R53" s="86">
        <v>32737</v>
      </c>
    </row>
    <row r="54" spans="3:18" x14ac:dyDescent="0.3">
      <c r="C54" s="6" t="s">
        <v>364</v>
      </c>
      <c r="D54" s="6">
        <v>5</v>
      </c>
      <c r="I54" s="63" t="s">
        <v>326</v>
      </c>
      <c r="J54" s="39">
        <v>45945</v>
      </c>
      <c r="K54" s="64">
        <v>-1000</v>
      </c>
      <c r="N54" s="6" t="s">
        <v>175</v>
      </c>
      <c r="O54" s="73">
        <f>-13200-32739-15969</f>
        <v>-61908</v>
      </c>
      <c r="Q54" s="85" t="s">
        <v>224</v>
      </c>
      <c r="R54" s="86">
        <v>17408</v>
      </c>
    </row>
    <row r="55" spans="3:18" x14ac:dyDescent="0.3">
      <c r="C55" s="6" t="s">
        <v>365</v>
      </c>
      <c r="D55" s="6">
        <v>4</v>
      </c>
      <c r="I55" s="63" t="s">
        <v>184</v>
      </c>
      <c r="J55" s="39">
        <v>45945</v>
      </c>
      <c r="K55" s="64">
        <v>-550</v>
      </c>
      <c r="N55" s="6" t="s">
        <v>72</v>
      </c>
      <c r="O55" s="73">
        <v>-12500</v>
      </c>
      <c r="Q55" s="85" t="s">
        <v>225</v>
      </c>
      <c r="R55" s="86">
        <v>13200</v>
      </c>
    </row>
    <row r="56" spans="3:18" x14ac:dyDescent="0.3">
      <c r="C56" s="6" t="s">
        <v>366</v>
      </c>
      <c r="D56" s="6">
        <v>4</v>
      </c>
      <c r="I56" s="63" t="s">
        <v>187</v>
      </c>
      <c r="J56" s="39">
        <v>45945</v>
      </c>
      <c r="K56" s="71">
        <v>-17</v>
      </c>
      <c r="N56" s="6" t="s">
        <v>183</v>
      </c>
      <c r="O56" s="73">
        <v>-80000</v>
      </c>
      <c r="Q56" s="2"/>
      <c r="R56" s="2"/>
    </row>
    <row r="57" spans="3:18" x14ac:dyDescent="0.3">
      <c r="C57" s="6" t="s">
        <v>367</v>
      </c>
      <c r="D57" s="6">
        <v>3</v>
      </c>
      <c r="I57" s="63" t="s">
        <v>241</v>
      </c>
      <c r="K57" s="64">
        <v>46</v>
      </c>
      <c r="N57" s="6" t="s">
        <v>185</v>
      </c>
      <c r="O57" s="73"/>
      <c r="Q57" s="2"/>
      <c r="R57" s="2"/>
    </row>
    <row r="58" spans="3:18" x14ac:dyDescent="0.3">
      <c r="I58" s="63" t="s">
        <v>353</v>
      </c>
      <c r="K58" s="64"/>
      <c r="N58" s="6" t="s">
        <v>184</v>
      </c>
      <c r="O58" s="73">
        <v>-25000</v>
      </c>
      <c r="Q58" s="2"/>
      <c r="R58" s="2"/>
    </row>
    <row r="59" spans="3:18" x14ac:dyDescent="0.3">
      <c r="I59" s="66"/>
      <c r="K59" s="64"/>
      <c r="O59" s="81">
        <f>SUM(O53:O58)</f>
        <v>15892</v>
      </c>
      <c r="Q59" s="2" t="s">
        <v>226</v>
      </c>
      <c r="R59" s="43">
        <f>SUM(R53:R58)</f>
        <v>63345</v>
      </c>
    </row>
    <row r="60" spans="3:18" x14ac:dyDescent="0.3">
      <c r="I60" s="67">
        <v>45658</v>
      </c>
      <c r="K60" s="64">
        <f>SUM(K35:K59)</f>
        <v>611</v>
      </c>
    </row>
    <row r="61" spans="3:18" ht="15" thickBot="1" x14ac:dyDescent="0.35">
      <c r="I61" s="68"/>
      <c r="J61" s="69"/>
      <c r="K61" s="70"/>
    </row>
    <row r="64" spans="3:18" x14ac:dyDescent="0.3">
      <c r="Q64">
        <v>-50145</v>
      </c>
    </row>
    <row r="71" spans="6:17" x14ac:dyDescent="0.3">
      <c r="I71" t="s">
        <v>301</v>
      </c>
      <c r="Q71" s="25">
        <f>100000/12</f>
        <v>8333.3333333333339</v>
      </c>
    </row>
    <row r="72" spans="6:17" ht="15" thickBot="1" x14ac:dyDescent="0.35">
      <c r="Q72" s="25">
        <f>Q71/2</f>
        <v>4166.666666666667</v>
      </c>
    </row>
    <row r="73" spans="6:17" ht="15" thickBot="1" x14ac:dyDescent="0.35">
      <c r="F73" s="2" t="s">
        <v>354</v>
      </c>
      <c r="G73" s="78">
        <v>-150</v>
      </c>
      <c r="I73" s="138" t="s">
        <v>161</v>
      </c>
      <c r="J73" s="139"/>
      <c r="K73" s="140"/>
      <c r="M73" s="138" t="s">
        <v>252</v>
      </c>
      <c r="N73" s="139"/>
      <c r="O73" s="140"/>
    </row>
    <row r="74" spans="6:17" x14ac:dyDescent="0.3">
      <c r="F74" s="85" t="s">
        <v>343</v>
      </c>
      <c r="G74" s="6">
        <v>-135</v>
      </c>
      <c r="I74" s="63" t="s">
        <v>89</v>
      </c>
      <c r="J74" s="1"/>
      <c r="K74" s="64">
        <v>300</v>
      </c>
      <c r="M74" s="63" t="s">
        <v>89</v>
      </c>
      <c r="N74" s="1"/>
      <c r="O74" s="64">
        <v>100</v>
      </c>
    </row>
    <row r="75" spans="6:17" x14ac:dyDescent="0.3">
      <c r="F75" s="85" t="s">
        <v>355</v>
      </c>
      <c r="G75" s="6">
        <v>-110</v>
      </c>
      <c r="I75" s="63" t="s">
        <v>12</v>
      </c>
      <c r="J75" s="39"/>
      <c r="K75" s="64"/>
      <c r="M75" s="63" t="s">
        <v>12</v>
      </c>
      <c r="N75" s="39"/>
      <c r="O75" s="64"/>
    </row>
    <row r="76" spans="6:17" x14ac:dyDescent="0.3">
      <c r="I76" s="65" t="s">
        <v>84</v>
      </c>
      <c r="J76" s="39">
        <v>45930</v>
      </c>
      <c r="K76" s="64">
        <v>3100</v>
      </c>
      <c r="M76" s="65" t="s">
        <v>84</v>
      </c>
      <c r="N76" s="39">
        <v>45930</v>
      </c>
      <c r="O76" s="64">
        <v>4000</v>
      </c>
    </row>
    <row r="77" spans="6:17" x14ac:dyDescent="0.3">
      <c r="I77" s="63" t="s">
        <v>10</v>
      </c>
      <c r="J77" s="39">
        <v>45931</v>
      </c>
      <c r="K77" s="71">
        <v>-2275</v>
      </c>
      <c r="M77" s="63" t="s">
        <v>10</v>
      </c>
      <c r="N77" s="39">
        <v>45931</v>
      </c>
      <c r="O77" s="71">
        <v>-1800</v>
      </c>
    </row>
    <row r="78" spans="6:17" x14ac:dyDescent="0.3">
      <c r="I78" s="63" t="s">
        <v>251</v>
      </c>
      <c r="J78" s="39">
        <v>45931</v>
      </c>
      <c r="K78" s="64">
        <v>-150</v>
      </c>
      <c r="M78" s="63" t="s">
        <v>12</v>
      </c>
      <c r="O78" s="71">
        <v>-200</v>
      </c>
    </row>
    <row r="79" spans="6:17" x14ac:dyDescent="0.3">
      <c r="I79" s="63" t="s">
        <v>12</v>
      </c>
      <c r="J79" s="39">
        <v>45931</v>
      </c>
      <c r="K79" s="71">
        <v>-200</v>
      </c>
      <c r="M79" s="63" t="s">
        <v>190</v>
      </c>
      <c r="N79" s="39">
        <v>45931</v>
      </c>
      <c r="O79" s="71">
        <v>-12</v>
      </c>
    </row>
    <row r="80" spans="6:17" x14ac:dyDescent="0.3">
      <c r="F80">
        <f>3000*63</f>
        <v>189000</v>
      </c>
      <c r="I80" s="63" t="s">
        <v>190</v>
      </c>
      <c r="K80" s="71">
        <v>-12</v>
      </c>
      <c r="M80" s="63" t="s">
        <v>80</v>
      </c>
      <c r="O80" s="71">
        <v>-125</v>
      </c>
    </row>
    <row r="81" spans="1:18" x14ac:dyDescent="0.3">
      <c r="F81">
        <f>F80/15000</f>
        <v>12.6</v>
      </c>
      <c r="I81" s="63" t="s">
        <v>80</v>
      </c>
      <c r="J81" s="39">
        <v>45933</v>
      </c>
      <c r="K81" s="71">
        <v>-134</v>
      </c>
      <c r="M81" s="63" t="s">
        <v>174</v>
      </c>
      <c r="N81" s="39">
        <v>45933</v>
      </c>
      <c r="O81" s="71">
        <v>-11</v>
      </c>
      <c r="Q81">
        <f>1500*85</f>
        <v>127500</v>
      </c>
    </row>
    <row r="82" spans="1:18" x14ac:dyDescent="0.3">
      <c r="I82" s="63" t="s">
        <v>174</v>
      </c>
      <c r="J82" s="39">
        <v>45933</v>
      </c>
      <c r="K82" s="71">
        <v>-11</v>
      </c>
      <c r="M82" s="63" t="s">
        <v>78</v>
      </c>
      <c r="N82" s="39">
        <v>45933</v>
      </c>
      <c r="O82" s="71">
        <v>-45</v>
      </c>
    </row>
    <row r="83" spans="1:18" x14ac:dyDescent="0.3">
      <c r="I83" s="63" t="s">
        <v>78</v>
      </c>
      <c r="J83" s="39">
        <v>45935</v>
      </c>
      <c r="K83" s="71">
        <v>-49</v>
      </c>
      <c r="M83" s="63" t="s">
        <v>79</v>
      </c>
      <c r="N83" s="39">
        <v>45935</v>
      </c>
      <c r="O83" s="71">
        <v>-45</v>
      </c>
    </row>
    <row r="84" spans="1:18" x14ac:dyDescent="0.3">
      <c r="A84" s="63" t="s">
        <v>83</v>
      </c>
      <c r="B84" s="39"/>
      <c r="C84" s="1">
        <v>-1500</v>
      </c>
      <c r="I84" s="63" t="s">
        <v>79</v>
      </c>
      <c r="J84" s="39">
        <v>45934</v>
      </c>
      <c r="K84" s="71">
        <v>-51</v>
      </c>
      <c r="M84" s="63" t="s">
        <v>82</v>
      </c>
      <c r="N84" s="39">
        <v>45934</v>
      </c>
      <c r="O84" s="71"/>
    </row>
    <row r="85" spans="1:18" x14ac:dyDescent="0.3">
      <c r="A85" s="63" t="s">
        <v>88</v>
      </c>
      <c r="B85" s="39"/>
      <c r="C85" s="1">
        <v>-1000</v>
      </c>
      <c r="I85" s="63" t="s">
        <v>82</v>
      </c>
      <c r="J85" s="39">
        <v>45945</v>
      </c>
      <c r="K85" s="71"/>
      <c r="M85" s="63" t="s">
        <v>86</v>
      </c>
      <c r="N85" s="39">
        <v>45945</v>
      </c>
      <c r="O85" s="64">
        <v>-60</v>
      </c>
    </row>
    <row r="86" spans="1:18" x14ac:dyDescent="0.3">
      <c r="A86" s="63" t="s">
        <v>300</v>
      </c>
      <c r="B86" s="39"/>
      <c r="C86" s="1">
        <v>-550</v>
      </c>
      <c r="I86" s="63" t="s">
        <v>86</v>
      </c>
      <c r="K86" s="64">
        <v>-60</v>
      </c>
      <c r="M86" s="63" t="s">
        <v>50</v>
      </c>
      <c r="O86" s="64">
        <v>-40</v>
      </c>
    </row>
    <row r="87" spans="1:18" x14ac:dyDescent="0.3">
      <c r="F87" s="6" t="s">
        <v>84</v>
      </c>
      <c r="G87" s="73">
        <f>2950*63</f>
        <v>185850</v>
      </c>
      <c r="I87" s="63" t="s">
        <v>50</v>
      </c>
      <c r="K87" s="64">
        <v>-40</v>
      </c>
      <c r="M87" s="65" t="s">
        <v>84</v>
      </c>
      <c r="O87" s="64">
        <v>4000</v>
      </c>
      <c r="Q87" s="6" t="s">
        <v>17</v>
      </c>
      <c r="R87" s="6" t="s">
        <v>253</v>
      </c>
    </row>
    <row r="88" spans="1:18" x14ac:dyDescent="0.3">
      <c r="F88" s="6" t="s">
        <v>175</v>
      </c>
      <c r="G88" s="73">
        <f>-13200-32739-15969</f>
        <v>-61908</v>
      </c>
      <c r="I88" s="65" t="s">
        <v>84</v>
      </c>
      <c r="J88" s="39">
        <v>45945</v>
      </c>
      <c r="K88" s="64">
        <v>3100</v>
      </c>
      <c r="M88" s="63" t="s">
        <v>81</v>
      </c>
      <c r="N88" s="39">
        <v>45945</v>
      </c>
      <c r="O88" s="64">
        <v>-150</v>
      </c>
      <c r="Q88" s="6">
        <f>O99*65</f>
        <v>266500</v>
      </c>
      <c r="R88" s="6">
        <f>O99*85</f>
        <v>348500</v>
      </c>
    </row>
    <row r="89" spans="1:18" x14ac:dyDescent="0.3">
      <c r="F89" s="6" t="s">
        <v>72</v>
      </c>
      <c r="G89" s="73">
        <v>-12500</v>
      </c>
      <c r="I89" s="63" t="s">
        <v>81</v>
      </c>
      <c r="J89" s="39">
        <v>45945</v>
      </c>
      <c r="K89" s="64"/>
      <c r="M89" s="63" t="s">
        <v>82</v>
      </c>
      <c r="N89" s="39">
        <v>45945</v>
      </c>
      <c r="O89" s="71">
        <v>-12</v>
      </c>
    </row>
    <row r="90" spans="1:18" x14ac:dyDescent="0.3">
      <c r="C90">
        <f>2500*63</f>
        <v>157500</v>
      </c>
      <c r="F90" s="6" t="s">
        <v>183</v>
      </c>
      <c r="G90" s="73">
        <v>-80000</v>
      </c>
      <c r="I90" s="63" t="s">
        <v>82</v>
      </c>
      <c r="J90" s="39">
        <v>45945</v>
      </c>
      <c r="K90" s="71"/>
      <c r="M90" s="63" t="s">
        <v>12</v>
      </c>
      <c r="N90" s="39">
        <v>45945</v>
      </c>
      <c r="O90" s="64">
        <v>-200</v>
      </c>
    </row>
    <row r="91" spans="1:18" x14ac:dyDescent="0.3">
      <c r="F91" s="6" t="s">
        <v>185</v>
      </c>
      <c r="G91" s="73"/>
      <c r="I91" s="63" t="s">
        <v>12</v>
      </c>
      <c r="J91" s="39">
        <v>45945</v>
      </c>
      <c r="K91" s="64">
        <v>-200</v>
      </c>
      <c r="M91" s="63" t="s">
        <v>83</v>
      </c>
      <c r="N91" s="39">
        <v>45945</v>
      </c>
      <c r="O91" s="64">
        <v>-800</v>
      </c>
      <c r="Q91">
        <f>O91*62</f>
        <v>-49600</v>
      </c>
    </row>
    <row r="92" spans="1:18" x14ac:dyDescent="0.3">
      <c r="F92" s="6" t="s">
        <v>184</v>
      </c>
      <c r="G92" s="73">
        <v>-25000</v>
      </c>
      <c r="I92" s="63" t="s">
        <v>83</v>
      </c>
      <c r="J92" s="39">
        <v>45945</v>
      </c>
      <c r="K92" s="64">
        <v>-1500</v>
      </c>
      <c r="M92" s="63" t="s">
        <v>88</v>
      </c>
      <c r="N92" s="39">
        <v>45945</v>
      </c>
      <c r="O92" s="64">
        <v>-500</v>
      </c>
    </row>
    <row r="93" spans="1:18" x14ac:dyDescent="0.3">
      <c r="G93" s="81">
        <f>SUM(G87:G92)</f>
        <v>6442</v>
      </c>
      <c r="I93" s="63" t="s">
        <v>326</v>
      </c>
      <c r="J93" s="39">
        <v>45945</v>
      </c>
      <c r="K93" s="64">
        <v>-1000</v>
      </c>
      <c r="M93" s="63" t="s">
        <v>152</v>
      </c>
      <c r="N93" s="39">
        <v>45945</v>
      </c>
      <c r="O93" s="64"/>
    </row>
    <row r="94" spans="1:18" x14ac:dyDescent="0.3">
      <c r="I94" s="63" t="s">
        <v>184</v>
      </c>
      <c r="J94" s="39">
        <v>45945</v>
      </c>
      <c r="K94" s="64">
        <v>-450</v>
      </c>
      <c r="M94" s="63" t="s">
        <v>187</v>
      </c>
      <c r="N94" s="39">
        <v>45945</v>
      </c>
      <c r="O94" s="71"/>
    </row>
    <row r="95" spans="1:18" x14ac:dyDescent="0.3">
      <c r="I95" s="63" t="s">
        <v>187</v>
      </c>
      <c r="J95" s="39">
        <v>45945</v>
      </c>
      <c r="K95" s="71">
        <v>-17</v>
      </c>
      <c r="M95" s="63" t="s">
        <v>241</v>
      </c>
      <c r="N95" s="39">
        <v>45945</v>
      </c>
      <c r="O95" s="64"/>
    </row>
    <row r="96" spans="1:18" x14ac:dyDescent="0.3">
      <c r="A96" s="134" t="s">
        <v>369</v>
      </c>
      <c r="B96" s="135"/>
      <c r="C96" s="137" t="s">
        <v>31</v>
      </c>
      <c r="D96" s="137"/>
      <c r="I96" s="63" t="s">
        <v>241</v>
      </c>
      <c r="K96" s="64">
        <v>46</v>
      </c>
      <c r="M96" s="66" t="s">
        <v>251</v>
      </c>
      <c r="O96" s="64"/>
    </row>
    <row r="97" spans="1:17" x14ac:dyDescent="0.3">
      <c r="A97" s="2" t="s">
        <v>232</v>
      </c>
      <c r="B97" s="86">
        <v>1525</v>
      </c>
      <c r="C97" s="2" t="s">
        <v>64</v>
      </c>
      <c r="D97" s="2">
        <v>3080</v>
      </c>
      <c r="I97" s="66"/>
      <c r="K97" s="64"/>
      <c r="M97" s="66"/>
      <c r="O97" s="64"/>
    </row>
    <row r="98" spans="1:17" x14ac:dyDescent="0.3">
      <c r="A98" s="2" t="s">
        <v>370</v>
      </c>
      <c r="B98" s="86">
        <v>1525</v>
      </c>
      <c r="C98" s="2" t="s">
        <v>76</v>
      </c>
      <c r="D98" s="2">
        <v>3000</v>
      </c>
      <c r="I98" s="66"/>
      <c r="K98" s="64"/>
      <c r="M98" s="66"/>
      <c r="O98" s="64"/>
    </row>
    <row r="99" spans="1:17" x14ac:dyDescent="0.3">
      <c r="A99" s="2" t="s">
        <v>234</v>
      </c>
      <c r="B99" s="86">
        <v>260</v>
      </c>
      <c r="C99" s="2"/>
      <c r="D99" s="2"/>
      <c r="I99" s="67">
        <v>45658</v>
      </c>
      <c r="K99" s="64">
        <f>SUM(K74:K98)</f>
        <v>397</v>
      </c>
      <c r="M99" s="67">
        <v>45658</v>
      </c>
      <c r="O99" s="64">
        <f>SUM(O74:O98)</f>
        <v>4100</v>
      </c>
      <c r="Q99">
        <f>O99*90</f>
        <v>369000</v>
      </c>
    </row>
    <row r="100" spans="1:17" ht="15" thickBot="1" x14ac:dyDescent="0.35">
      <c r="A100" s="2" t="s">
        <v>329</v>
      </c>
      <c r="B100" s="86">
        <v>170</v>
      </c>
      <c r="C100" s="2"/>
      <c r="D100" s="2"/>
      <c r="I100" s="68"/>
      <c r="J100" s="69"/>
      <c r="K100" s="70"/>
      <c r="M100" s="68"/>
      <c r="N100" s="69"/>
      <c r="O100" s="70"/>
    </row>
    <row r="101" spans="1:17" x14ac:dyDescent="0.3">
      <c r="A101" s="2" t="s">
        <v>380</v>
      </c>
      <c r="B101" s="86">
        <v>50</v>
      </c>
      <c r="C101" s="2"/>
      <c r="D101" s="2"/>
    </row>
    <row r="102" spans="1:17" x14ac:dyDescent="0.3">
      <c r="A102" s="2" t="s">
        <v>381</v>
      </c>
      <c r="B102" s="86">
        <v>1900</v>
      </c>
      <c r="C102" s="76" t="s">
        <v>8</v>
      </c>
      <c r="D102" s="76">
        <f>SUM(D97:D101)</f>
        <v>6080</v>
      </c>
    </row>
    <row r="103" spans="1:17" x14ac:dyDescent="0.3">
      <c r="A103" s="2"/>
      <c r="B103" s="2"/>
      <c r="C103" s="2"/>
      <c r="D103" s="2"/>
    </row>
    <row r="104" spans="1:17" x14ac:dyDescent="0.3">
      <c r="A104" s="2"/>
      <c r="B104" s="110">
        <f>SUM(B97:B102)</f>
        <v>5430</v>
      </c>
      <c r="C104" s="76" t="s">
        <v>89</v>
      </c>
      <c r="D104" s="43">
        <f>D102-B104</f>
        <v>650</v>
      </c>
    </row>
  </sheetData>
  <mergeCells count="7">
    <mergeCell ref="A96:B96"/>
    <mergeCell ref="C96:D96"/>
    <mergeCell ref="I34:K34"/>
    <mergeCell ref="N34:O34"/>
    <mergeCell ref="Q34:R34"/>
    <mergeCell ref="I73:K73"/>
    <mergeCell ref="M73:O7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0919-9473-442A-8B5E-A24EAA9A02EE}">
  <dimension ref="A1:T139"/>
  <sheetViews>
    <sheetView workbookViewId="0">
      <selection activeCell="C34" sqref="C34"/>
    </sheetView>
  </sheetViews>
  <sheetFormatPr defaultRowHeight="14.4" x14ac:dyDescent="0.3"/>
  <cols>
    <col min="1" max="1" width="14" bestFit="1" customWidth="1"/>
    <col min="2" max="2" width="11" bestFit="1" customWidth="1"/>
    <col min="3" max="3" width="12.44140625" customWidth="1"/>
    <col min="4" max="4" width="17.33203125" customWidth="1"/>
    <col min="5" max="5" width="11.44140625" bestFit="1" customWidth="1"/>
    <col min="6" max="7" width="10.6640625" customWidth="1"/>
    <col min="8" max="8" width="11.77734375" bestFit="1" customWidth="1"/>
    <col min="9" max="9" width="9.77734375" bestFit="1" customWidth="1"/>
    <col min="10" max="10" width="11.21875" bestFit="1" customWidth="1"/>
    <col min="11" max="11" width="11.77734375" customWidth="1"/>
    <col min="19" max="19" width="15.6640625" bestFit="1" customWidth="1"/>
  </cols>
  <sheetData>
    <row r="1" spans="1:20" x14ac:dyDescent="0.3">
      <c r="T1" s="53"/>
    </row>
    <row r="2" spans="1:20" x14ac:dyDescent="0.3">
      <c r="A2" s="6" t="s">
        <v>164</v>
      </c>
      <c r="B2" s="6" t="s">
        <v>163</v>
      </c>
      <c r="C2" s="6" t="s">
        <v>177</v>
      </c>
      <c r="D2" s="54" t="s">
        <v>178</v>
      </c>
      <c r="E2" s="6" t="s">
        <v>179</v>
      </c>
      <c r="F2" s="6">
        <v>2024</v>
      </c>
      <c r="G2" s="6" t="s">
        <v>180</v>
      </c>
      <c r="H2" s="6">
        <v>2023</v>
      </c>
      <c r="I2" s="6" t="s">
        <v>167</v>
      </c>
      <c r="J2" s="6">
        <v>2022</v>
      </c>
      <c r="K2" s="6" t="s">
        <v>166</v>
      </c>
      <c r="R2" t="s">
        <v>158</v>
      </c>
      <c r="T2" s="53">
        <v>70000</v>
      </c>
    </row>
    <row r="3" spans="1:20" x14ac:dyDescent="0.3">
      <c r="A3" s="6"/>
      <c r="B3" s="6"/>
      <c r="C3" s="6"/>
      <c r="D3" s="54"/>
      <c r="E3" s="55"/>
      <c r="F3" s="55"/>
      <c r="G3" s="55"/>
      <c r="H3" s="6"/>
      <c r="I3" s="55"/>
      <c r="J3" s="6"/>
      <c r="K3" s="55"/>
      <c r="T3" s="53"/>
    </row>
    <row r="4" spans="1:20" x14ac:dyDescent="0.3">
      <c r="A4" s="57" t="s">
        <v>169</v>
      </c>
      <c r="B4" s="59">
        <v>293.56</v>
      </c>
      <c r="C4" s="59">
        <v>248.45</v>
      </c>
      <c r="D4" s="54">
        <v>470</v>
      </c>
      <c r="E4" s="55">
        <f t="shared" ref="E4:E10" si="0">D4*B4</f>
        <v>137973.20000000001</v>
      </c>
      <c r="F4" s="59">
        <v>175</v>
      </c>
      <c r="G4" s="55">
        <f>F4*D4</f>
        <v>82250</v>
      </c>
      <c r="H4" s="59">
        <v>60</v>
      </c>
      <c r="I4" s="55">
        <f t="shared" ref="I4:I10" si="1">H4*D4</f>
        <v>28200</v>
      </c>
      <c r="J4" s="59">
        <v>60</v>
      </c>
      <c r="K4" s="55">
        <f t="shared" ref="K4:K10" si="2">J4*D4</f>
        <v>28200</v>
      </c>
      <c r="T4" s="53"/>
    </row>
    <row r="5" spans="1:20" x14ac:dyDescent="0.3">
      <c r="A5" s="57" t="s">
        <v>168</v>
      </c>
      <c r="B5" s="59">
        <v>291.77</v>
      </c>
      <c r="C5" s="59">
        <v>255.65</v>
      </c>
      <c r="D5" s="54">
        <v>425</v>
      </c>
      <c r="E5" s="55">
        <f t="shared" si="0"/>
        <v>124002.24999999999</v>
      </c>
      <c r="F5" s="59">
        <v>200</v>
      </c>
      <c r="G5" s="55">
        <f t="shared" ref="G5:G10" si="3">F5*D5</f>
        <v>85000</v>
      </c>
      <c r="H5" s="59">
        <v>145</v>
      </c>
      <c r="I5" s="55">
        <f t="shared" si="1"/>
        <v>61625</v>
      </c>
      <c r="J5" s="59">
        <v>135</v>
      </c>
      <c r="K5" s="55">
        <f t="shared" si="2"/>
        <v>57375</v>
      </c>
      <c r="T5" s="53"/>
    </row>
    <row r="6" spans="1:20" x14ac:dyDescent="0.3">
      <c r="A6" s="57" t="s">
        <v>165</v>
      </c>
      <c r="B6" s="59">
        <v>110.61</v>
      </c>
      <c r="C6" s="59">
        <v>88.5</v>
      </c>
      <c r="D6" s="54">
        <v>1045</v>
      </c>
      <c r="E6" s="55">
        <f t="shared" si="0"/>
        <v>115587.45</v>
      </c>
      <c r="F6" s="59">
        <v>85</v>
      </c>
      <c r="G6" s="55">
        <f t="shared" si="3"/>
        <v>88825</v>
      </c>
      <c r="H6" s="59">
        <v>65</v>
      </c>
      <c r="I6" s="55">
        <f t="shared" si="1"/>
        <v>67925</v>
      </c>
      <c r="J6" s="59">
        <v>40</v>
      </c>
      <c r="K6" s="55">
        <f t="shared" si="2"/>
        <v>41800</v>
      </c>
      <c r="S6" s="1" t="s">
        <v>159</v>
      </c>
      <c r="T6" s="53" t="s">
        <v>15</v>
      </c>
    </row>
    <row r="7" spans="1:20" x14ac:dyDescent="0.3">
      <c r="A7" s="57" t="s">
        <v>170</v>
      </c>
      <c r="B7" s="59">
        <v>360.06</v>
      </c>
      <c r="C7" s="59">
        <v>265.3</v>
      </c>
      <c r="D7" s="54">
        <v>382</v>
      </c>
      <c r="E7" s="55">
        <f t="shared" si="0"/>
        <v>137542.92000000001</v>
      </c>
      <c r="F7" s="59">
        <v>220</v>
      </c>
      <c r="G7" s="55">
        <f t="shared" si="3"/>
        <v>84040</v>
      </c>
      <c r="H7" s="59">
        <v>180</v>
      </c>
      <c r="I7" s="55">
        <f t="shared" si="1"/>
        <v>68760</v>
      </c>
      <c r="J7" s="59">
        <v>155</v>
      </c>
      <c r="K7" s="55">
        <f t="shared" si="2"/>
        <v>59210</v>
      </c>
      <c r="Q7" t="s">
        <v>156</v>
      </c>
      <c r="R7" t="s">
        <v>62</v>
      </c>
      <c r="S7" s="1">
        <v>30000</v>
      </c>
      <c r="T7" s="53">
        <v>60000</v>
      </c>
    </row>
    <row r="8" spans="1:20" x14ac:dyDescent="0.3">
      <c r="A8" s="57" t="s">
        <v>162</v>
      </c>
      <c r="B8" s="59">
        <v>476.16</v>
      </c>
      <c r="C8" s="59">
        <v>362.85</v>
      </c>
      <c r="D8" s="54">
        <v>245</v>
      </c>
      <c r="E8" s="55">
        <f t="shared" si="0"/>
        <v>116659.20000000001</v>
      </c>
      <c r="F8" s="59">
        <v>350</v>
      </c>
      <c r="G8" s="55">
        <f t="shared" si="3"/>
        <v>85750</v>
      </c>
      <c r="H8" s="59">
        <v>210</v>
      </c>
      <c r="I8" s="55">
        <f t="shared" si="1"/>
        <v>51450</v>
      </c>
      <c r="J8" s="59">
        <v>135</v>
      </c>
      <c r="K8" s="55">
        <f t="shared" si="2"/>
        <v>33075</v>
      </c>
      <c r="R8" t="s">
        <v>63</v>
      </c>
      <c r="S8" s="1">
        <v>30000</v>
      </c>
      <c r="T8" s="53"/>
    </row>
    <row r="9" spans="1:20" x14ac:dyDescent="0.3">
      <c r="A9" s="57" t="s">
        <v>171</v>
      </c>
      <c r="B9" s="59">
        <v>283.13</v>
      </c>
      <c r="C9" s="59">
        <v>259.55</v>
      </c>
      <c r="D9" s="54">
        <v>457</v>
      </c>
      <c r="E9" s="55">
        <f t="shared" si="0"/>
        <v>129390.41</v>
      </c>
      <c r="F9" s="59">
        <v>180</v>
      </c>
      <c r="G9" s="55">
        <f t="shared" si="3"/>
        <v>82260</v>
      </c>
      <c r="H9" s="59">
        <v>72</v>
      </c>
      <c r="I9" s="55">
        <f t="shared" si="1"/>
        <v>32904</v>
      </c>
      <c r="J9" s="59">
        <v>100</v>
      </c>
      <c r="K9" s="55">
        <f t="shared" si="2"/>
        <v>45700</v>
      </c>
      <c r="R9" t="s">
        <v>26</v>
      </c>
      <c r="S9" s="1">
        <v>30000</v>
      </c>
      <c r="T9" s="53"/>
    </row>
    <row r="10" spans="1:20" x14ac:dyDescent="0.3">
      <c r="A10" s="72" t="s">
        <v>176</v>
      </c>
      <c r="B10" s="59">
        <v>285.85000000000002</v>
      </c>
      <c r="C10" s="59">
        <v>227.15</v>
      </c>
      <c r="D10" s="6">
        <v>280</v>
      </c>
      <c r="E10" s="55">
        <f t="shared" si="0"/>
        <v>80038</v>
      </c>
      <c r="F10" s="59">
        <v>125</v>
      </c>
      <c r="G10" s="55">
        <f t="shared" si="3"/>
        <v>35000</v>
      </c>
      <c r="H10" s="59">
        <v>60</v>
      </c>
      <c r="I10" s="55">
        <f t="shared" si="1"/>
        <v>16800</v>
      </c>
      <c r="J10" s="59">
        <v>130</v>
      </c>
      <c r="K10" s="55">
        <f t="shared" si="2"/>
        <v>36400</v>
      </c>
      <c r="Q10" t="s">
        <v>156</v>
      </c>
      <c r="R10" t="s">
        <v>64</v>
      </c>
      <c r="S10" s="1">
        <v>30000</v>
      </c>
      <c r="T10" s="53">
        <v>60000</v>
      </c>
    </row>
    <row r="11" spans="1:20" x14ac:dyDescent="0.3">
      <c r="B11" s="1"/>
      <c r="C11" s="1"/>
      <c r="P11" s="1"/>
      <c r="R11" t="s">
        <v>76</v>
      </c>
      <c r="S11" s="1">
        <v>30000</v>
      </c>
      <c r="T11" s="53"/>
    </row>
    <row r="12" spans="1:20" x14ac:dyDescent="0.3">
      <c r="B12" s="1"/>
      <c r="C12" s="1"/>
      <c r="J12" s="56"/>
      <c r="Q12" t="s">
        <v>160</v>
      </c>
      <c r="R12" t="s">
        <v>56</v>
      </c>
      <c r="S12" s="1">
        <v>30000</v>
      </c>
      <c r="T12" s="53">
        <v>60000</v>
      </c>
    </row>
    <row r="13" spans="1:20" x14ac:dyDescent="0.3">
      <c r="B13" s="1"/>
      <c r="C13" s="1"/>
      <c r="E13" s="56"/>
      <c r="F13" s="56"/>
      <c r="G13" s="56"/>
      <c r="I13" s="25"/>
      <c r="Q13" t="s">
        <v>157</v>
      </c>
      <c r="R13" t="s">
        <v>151</v>
      </c>
      <c r="S13" s="1">
        <v>30000</v>
      </c>
      <c r="T13" s="53">
        <v>100000</v>
      </c>
    </row>
    <row r="14" spans="1:20" x14ac:dyDescent="0.3">
      <c r="B14" s="1"/>
      <c r="C14" s="1"/>
      <c r="E14" s="55">
        <f>SUM(E3:E10)</f>
        <v>841193.43</v>
      </c>
      <c r="F14" s="55"/>
      <c r="G14" s="55">
        <f>SUM(G4:G13)</f>
        <v>543125</v>
      </c>
      <c r="H14" s="55"/>
      <c r="I14" s="55">
        <f>SUM(K3:K9)</f>
        <v>265360</v>
      </c>
      <c r="J14" s="55"/>
      <c r="K14" s="55">
        <f>SUM(I3:I10)</f>
        <v>327664</v>
      </c>
      <c r="R14" t="s">
        <v>153</v>
      </c>
      <c r="S14" s="1"/>
      <c r="T14" s="53">
        <v>30000</v>
      </c>
    </row>
    <row r="15" spans="1:20" x14ac:dyDescent="0.3">
      <c r="B15" s="1"/>
      <c r="C15" s="1"/>
      <c r="R15" t="s">
        <v>59</v>
      </c>
      <c r="S15" s="1"/>
      <c r="T15" s="53">
        <v>30000</v>
      </c>
    </row>
    <row r="16" spans="1:20" x14ac:dyDescent="0.3">
      <c r="B16" s="1"/>
      <c r="C16" s="1"/>
      <c r="I16" s="58"/>
      <c r="R16" t="s">
        <v>154</v>
      </c>
      <c r="S16" s="1"/>
      <c r="T16" s="53">
        <v>30000</v>
      </c>
    </row>
    <row r="17" spans="1:20" x14ac:dyDescent="0.3">
      <c r="B17" s="1"/>
      <c r="C17" s="1"/>
      <c r="R17" t="s">
        <v>155</v>
      </c>
      <c r="S17" s="1"/>
      <c r="T17" s="53">
        <v>30000</v>
      </c>
    </row>
    <row r="18" spans="1:20" x14ac:dyDescent="0.3">
      <c r="A18" s="134">
        <v>2025</v>
      </c>
      <c r="B18" s="135"/>
      <c r="D18" s="134" t="s">
        <v>52</v>
      </c>
      <c r="E18" s="135"/>
      <c r="G18" s="141" t="s">
        <v>239</v>
      </c>
      <c r="H18" s="141"/>
      <c r="R18" t="s">
        <v>60</v>
      </c>
      <c r="S18" s="1"/>
      <c r="T18" s="53">
        <v>30000</v>
      </c>
    </row>
    <row r="19" spans="1:20" x14ac:dyDescent="0.3">
      <c r="A19" s="6" t="s">
        <v>60</v>
      </c>
      <c r="B19" s="6">
        <v>80000</v>
      </c>
      <c r="C19" s="1"/>
      <c r="D19" s="6" t="s">
        <v>236</v>
      </c>
      <c r="E19" s="87">
        <f>80000*36</f>
        <v>2880000</v>
      </c>
      <c r="G19" s="2" t="s">
        <v>236</v>
      </c>
      <c r="H19" s="88">
        <f>40*275000</f>
        <v>11000000</v>
      </c>
      <c r="Q19" t="s">
        <v>156</v>
      </c>
      <c r="R19" t="s">
        <v>62</v>
      </c>
      <c r="T19" s="53">
        <v>60000</v>
      </c>
    </row>
    <row r="20" spans="1:20" x14ac:dyDescent="0.3">
      <c r="A20" s="6" t="s">
        <v>62</v>
      </c>
      <c r="B20" s="6">
        <v>80000</v>
      </c>
      <c r="D20" s="6" t="s">
        <v>237</v>
      </c>
      <c r="E20" s="87">
        <v>-300000</v>
      </c>
    </row>
    <row r="21" spans="1:20" x14ac:dyDescent="0.3">
      <c r="A21" s="6" t="s">
        <v>63</v>
      </c>
      <c r="B21" s="6">
        <v>80000</v>
      </c>
      <c r="D21" s="6"/>
      <c r="E21" s="87"/>
    </row>
    <row r="22" spans="1:20" x14ac:dyDescent="0.3">
      <c r="A22" s="6" t="s">
        <v>26</v>
      </c>
      <c r="B22" s="6">
        <v>80000</v>
      </c>
      <c r="D22" s="2"/>
      <c r="E22" s="2"/>
    </row>
    <row r="23" spans="1:20" x14ac:dyDescent="0.3">
      <c r="A23" s="6" t="s">
        <v>64</v>
      </c>
      <c r="B23" s="6">
        <v>80000</v>
      </c>
      <c r="D23" s="41"/>
      <c r="E23" s="87"/>
    </row>
    <row r="24" spans="1:20" x14ac:dyDescent="0.3">
      <c r="D24" s="41"/>
      <c r="E24" s="87"/>
    </row>
    <row r="26" spans="1:20" x14ac:dyDescent="0.3">
      <c r="E26" s="88">
        <f>SUM(E19:E25)</f>
        <v>2580000</v>
      </c>
    </row>
    <row r="30" spans="1:20" x14ac:dyDescent="0.3">
      <c r="A30" s="83" t="s">
        <v>214</v>
      </c>
      <c r="B30" s="83" t="s">
        <v>215</v>
      </c>
      <c r="C30" s="83" t="s">
        <v>52</v>
      </c>
    </row>
    <row r="31" spans="1:20" x14ac:dyDescent="0.3">
      <c r="A31" s="80" t="s">
        <v>173</v>
      </c>
      <c r="B31" s="73">
        <v>2268543</v>
      </c>
      <c r="C31" s="73">
        <v>17408</v>
      </c>
    </row>
    <row r="32" spans="1:20" x14ac:dyDescent="0.3">
      <c r="A32" s="80" t="s">
        <v>173</v>
      </c>
      <c r="B32" s="73">
        <v>3593645</v>
      </c>
      <c r="C32" s="73">
        <v>32739</v>
      </c>
    </row>
    <row r="33" spans="1:3" x14ac:dyDescent="0.3">
      <c r="A33" s="80" t="s">
        <v>213</v>
      </c>
      <c r="B33" s="73">
        <v>1300000</v>
      </c>
      <c r="C33" s="73">
        <v>13200</v>
      </c>
    </row>
    <row r="34" spans="1:3" x14ac:dyDescent="0.3">
      <c r="A34" s="80" t="s">
        <v>347</v>
      </c>
      <c r="B34" s="73">
        <v>-200000</v>
      </c>
      <c r="C34" s="2">
        <v>-2000</v>
      </c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6"/>
      <c r="B42" s="81">
        <f>SUM(B31:B41)</f>
        <v>6962188</v>
      </c>
      <c r="C42" s="81">
        <f>SUM(C31:C41)</f>
        <v>61347</v>
      </c>
    </row>
    <row r="88" spans="4:4" x14ac:dyDescent="0.3">
      <c r="D88" t="s">
        <v>98</v>
      </c>
    </row>
    <row r="89" spans="4:4" x14ac:dyDescent="0.3">
      <c r="D89" t="s">
        <v>99</v>
      </c>
    </row>
    <row r="90" spans="4:4" x14ac:dyDescent="0.3">
      <c r="D90" t="s">
        <v>100</v>
      </c>
    </row>
    <row r="91" spans="4:4" x14ac:dyDescent="0.3">
      <c r="D91" t="s">
        <v>101</v>
      </c>
    </row>
    <row r="92" spans="4:4" x14ac:dyDescent="0.3">
      <c r="D92" t="s">
        <v>102</v>
      </c>
    </row>
    <row r="93" spans="4:4" x14ac:dyDescent="0.3">
      <c r="D93" t="s">
        <v>103</v>
      </c>
    </row>
    <row r="94" spans="4:4" x14ac:dyDescent="0.3">
      <c r="D94" t="s">
        <v>104</v>
      </c>
    </row>
    <row r="95" spans="4:4" x14ac:dyDescent="0.3">
      <c r="D95" t="s">
        <v>105</v>
      </c>
    </row>
    <row r="96" spans="4:4" x14ac:dyDescent="0.3">
      <c r="D96" t="s">
        <v>106</v>
      </c>
    </row>
    <row r="97" spans="4:4" x14ac:dyDescent="0.3">
      <c r="D97" t="s">
        <v>107</v>
      </c>
    </row>
    <row r="98" spans="4:4" x14ac:dyDescent="0.3">
      <c r="D98" t="s">
        <v>108</v>
      </c>
    </row>
    <row r="99" spans="4:4" x14ac:dyDescent="0.3">
      <c r="D99" t="s">
        <v>109</v>
      </c>
    </row>
    <row r="100" spans="4:4" x14ac:dyDescent="0.3">
      <c r="D100" t="s">
        <v>110</v>
      </c>
    </row>
    <row r="101" spans="4:4" x14ac:dyDescent="0.3">
      <c r="D101" t="s">
        <v>111</v>
      </c>
    </row>
    <row r="102" spans="4:4" x14ac:dyDescent="0.3">
      <c r="D102" t="s">
        <v>112</v>
      </c>
    </row>
    <row r="103" spans="4:4" x14ac:dyDescent="0.3">
      <c r="D103" t="s">
        <v>113</v>
      </c>
    </row>
    <row r="104" spans="4:4" x14ac:dyDescent="0.3">
      <c r="D104" t="s">
        <v>114</v>
      </c>
    </row>
    <row r="105" spans="4:4" x14ac:dyDescent="0.3">
      <c r="D105" t="s">
        <v>115</v>
      </c>
    </row>
    <row r="106" spans="4:4" x14ac:dyDescent="0.3">
      <c r="D106" t="s">
        <v>116</v>
      </c>
    </row>
    <row r="107" spans="4:4" x14ac:dyDescent="0.3">
      <c r="D107" t="s">
        <v>117</v>
      </c>
    </row>
    <row r="108" spans="4:4" x14ac:dyDescent="0.3">
      <c r="D108" t="s">
        <v>118</v>
      </c>
    </row>
    <row r="109" spans="4:4" x14ac:dyDescent="0.3">
      <c r="D109" t="s">
        <v>119</v>
      </c>
    </row>
    <row r="110" spans="4:4" x14ac:dyDescent="0.3">
      <c r="D110" t="s">
        <v>120</v>
      </c>
    </row>
    <row r="111" spans="4:4" x14ac:dyDescent="0.3">
      <c r="D111" t="s">
        <v>121</v>
      </c>
    </row>
    <row r="112" spans="4:4" x14ac:dyDescent="0.3">
      <c r="D112" t="s">
        <v>122</v>
      </c>
    </row>
    <row r="113" spans="4:4" x14ac:dyDescent="0.3">
      <c r="D113" t="s">
        <v>123</v>
      </c>
    </row>
    <row r="114" spans="4:4" x14ac:dyDescent="0.3">
      <c r="D114" t="s">
        <v>124</v>
      </c>
    </row>
    <row r="115" spans="4:4" x14ac:dyDescent="0.3">
      <c r="D115" t="s">
        <v>125</v>
      </c>
    </row>
    <row r="116" spans="4:4" x14ac:dyDescent="0.3">
      <c r="D116" t="s">
        <v>126</v>
      </c>
    </row>
    <row r="117" spans="4:4" x14ac:dyDescent="0.3">
      <c r="D117" t="s">
        <v>127</v>
      </c>
    </row>
    <row r="118" spans="4:4" x14ac:dyDescent="0.3">
      <c r="D118" t="s">
        <v>128</v>
      </c>
    </row>
    <row r="119" spans="4:4" x14ac:dyDescent="0.3">
      <c r="D119" t="s">
        <v>129</v>
      </c>
    </row>
    <row r="120" spans="4:4" x14ac:dyDescent="0.3">
      <c r="D120" t="s">
        <v>130</v>
      </c>
    </row>
    <row r="121" spans="4:4" x14ac:dyDescent="0.3">
      <c r="D121" t="s">
        <v>131</v>
      </c>
    </row>
    <row r="122" spans="4:4" x14ac:dyDescent="0.3">
      <c r="D122" t="s">
        <v>132</v>
      </c>
    </row>
    <row r="123" spans="4:4" x14ac:dyDescent="0.3">
      <c r="D123" t="s">
        <v>133</v>
      </c>
    </row>
    <row r="124" spans="4:4" x14ac:dyDescent="0.3">
      <c r="D124" t="s">
        <v>134</v>
      </c>
    </row>
    <row r="125" spans="4:4" x14ac:dyDescent="0.3">
      <c r="D125" t="s">
        <v>135</v>
      </c>
    </row>
    <row r="126" spans="4:4" x14ac:dyDescent="0.3">
      <c r="D126" t="s">
        <v>136</v>
      </c>
    </row>
    <row r="127" spans="4:4" x14ac:dyDescent="0.3">
      <c r="D127" t="s">
        <v>137</v>
      </c>
    </row>
    <row r="128" spans="4:4" x14ac:dyDescent="0.3">
      <c r="D128" t="s">
        <v>138</v>
      </c>
    </row>
    <row r="129" spans="4:4" x14ac:dyDescent="0.3">
      <c r="D129" t="s">
        <v>139</v>
      </c>
    </row>
    <row r="130" spans="4:4" x14ac:dyDescent="0.3">
      <c r="D130" t="s">
        <v>140</v>
      </c>
    </row>
    <row r="131" spans="4:4" x14ac:dyDescent="0.3">
      <c r="D131" t="s">
        <v>141</v>
      </c>
    </row>
    <row r="132" spans="4:4" x14ac:dyDescent="0.3">
      <c r="D132" t="s">
        <v>142</v>
      </c>
    </row>
    <row r="133" spans="4:4" x14ac:dyDescent="0.3">
      <c r="D133" t="s">
        <v>143</v>
      </c>
    </row>
    <row r="134" spans="4:4" x14ac:dyDescent="0.3">
      <c r="D134" t="s">
        <v>144</v>
      </c>
    </row>
    <row r="135" spans="4:4" x14ac:dyDescent="0.3">
      <c r="D135" t="s">
        <v>145</v>
      </c>
    </row>
    <row r="136" spans="4:4" x14ac:dyDescent="0.3">
      <c r="D136" t="s">
        <v>146</v>
      </c>
    </row>
    <row r="137" spans="4:4" x14ac:dyDescent="0.3">
      <c r="D137" t="s">
        <v>147</v>
      </c>
    </row>
    <row r="138" spans="4:4" x14ac:dyDescent="0.3">
      <c r="D138" t="s">
        <v>148</v>
      </c>
    </row>
    <row r="139" spans="4:4" x14ac:dyDescent="0.3">
      <c r="D139" t="s">
        <v>149</v>
      </c>
    </row>
  </sheetData>
  <mergeCells count="3">
    <mergeCell ref="A18:B18"/>
    <mergeCell ref="D18:E18"/>
    <mergeCell ref="G18:H18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F6A3-9813-4C12-A8F4-6830DC131BAC}">
  <dimension ref="A1:DT28"/>
  <sheetViews>
    <sheetView workbookViewId="0">
      <selection activeCell="C28" sqref="C28"/>
    </sheetView>
  </sheetViews>
  <sheetFormatPr defaultRowHeight="14.4" x14ac:dyDescent="0.3"/>
  <cols>
    <col min="1" max="1" width="12.33203125" customWidth="1"/>
    <col min="4" max="7" width="0" hidden="1" customWidth="1"/>
    <col min="9" max="36" width="0" hidden="1" customWidth="1"/>
    <col min="38" max="41" width="0" hidden="1" customWidth="1"/>
    <col min="44" max="46" width="0" hidden="1" customWidth="1"/>
    <col min="48" max="54" width="0" hidden="1" customWidth="1"/>
    <col min="56" max="60" width="0" hidden="1" customWidth="1"/>
  </cols>
  <sheetData>
    <row r="1" spans="1:124" s="6" customFormat="1" x14ac:dyDescent="0.3">
      <c r="A1" s="6" t="s">
        <v>249</v>
      </c>
      <c r="B1" s="90">
        <v>45831</v>
      </c>
      <c r="C1" s="90">
        <v>45839</v>
      </c>
      <c r="D1" s="90">
        <v>45840</v>
      </c>
      <c r="E1" s="90">
        <v>45841</v>
      </c>
      <c r="F1" s="90">
        <v>45842</v>
      </c>
      <c r="G1" s="90">
        <v>45843</v>
      </c>
      <c r="H1" s="90">
        <v>45844</v>
      </c>
      <c r="I1" s="90">
        <v>45845</v>
      </c>
      <c r="J1" s="90">
        <v>45846</v>
      </c>
      <c r="K1" s="90">
        <v>45847</v>
      </c>
      <c r="L1" s="90">
        <v>45848</v>
      </c>
      <c r="M1" s="90">
        <v>45849</v>
      </c>
      <c r="N1" s="90">
        <v>45850</v>
      </c>
      <c r="O1" s="90">
        <v>45851</v>
      </c>
      <c r="P1" s="90">
        <v>45852</v>
      </c>
      <c r="Q1" s="90">
        <v>45853</v>
      </c>
      <c r="R1" s="90">
        <v>45854</v>
      </c>
      <c r="S1" s="90">
        <v>45855</v>
      </c>
      <c r="T1" s="90">
        <v>45856</v>
      </c>
      <c r="U1" s="90">
        <v>45857</v>
      </c>
      <c r="V1" s="90">
        <v>45858</v>
      </c>
      <c r="W1" s="90">
        <v>45859</v>
      </c>
      <c r="X1" s="90">
        <v>45860</v>
      </c>
      <c r="Y1" s="90">
        <v>45861</v>
      </c>
      <c r="Z1" s="90">
        <v>45862</v>
      </c>
      <c r="AA1" s="90">
        <v>45863</v>
      </c>
      <c r="AB1" s="90">
        <v>45864</v>
      </c>
      <c r="AC1" s="90">
        <v>45865</v>
      </c>
      <c r="AD1" s="90">
        <v>45866</v>
      </c>
      <c r="AE1" s="90">
        <v>45867</v>
      </c>
      <c r="AF1" s="90">
        <v>45868</v>
      </c>
      <c r="AG1" s="90">
        <v>45869</v>
      </c>
      <c r="AH1" s="90">
        <v>45870</v>
      </c>
      <c r="AI1" s="90">
        <v>45871</v>
      </c>
      <c r="AJ1" s="90">
        <v>45872</v>
      </c>
      <c r="AK1" s="90">
        <v>45873</v>
      </c>
      <c r="AL1" s="90">
        <v>45874</v>
      </c>
      <c r="AM1" s="90">
        <v>45875</v>
      </c>
      <c r="AN1" s="90">
        <v>45876</v>
      </c>
      <c r="AO1" s="90">
        <v>45877</v>
      </c>
      <c r="AP1" s="90">
        <v>45878</v>
      </c>
      <c r="AQ1" s="90">
        <v>45879</v>
      </c>
      <c r="AR1" s="90">
        <v>45880</v>
      </c>
      <c r="AS1" s="90">
        <v>45881</v>
      </c>
      <c r="AT1" s="90">
        <v>45882</v>
      </c>
      <c r="AU1" s="90">
        <v>45883</v>
      </c>
      <c r="AV1" s="90">
        <v>45884</v>
      </c>
      <c r="AW1" s="90">
        <v>45885</v>
      </c>
      <c r="AX1" s="90">
        <v>45886</v>
      </c>
      <c r="AY1" s="90">
        <v>45887</v>
      </c>
      <c r="AZ1" s="90">
        <v>45888</v>
      </c>
      <c r="BA1" s="90">
        <v>45889</v>
      </c>
      <c r="BB1" s="90">
        <v>45890</v>
      </c>
      <c r="BC1" s="90">
        <v>45891</v>
      </c>
      <c r="BD1" s="90">
        <v>45892</v>
      </c>
      <c r="BE1" s="90">
        <v>45893</v>
      </c>
      <c r="BF1" s="90">
        <v>45894</v>
      </c>
      <c r="BG1" s="90">
        <v>45895</v>
      </c>
      <c r="BH1" s="90">
        <v>45896</v>
      </c>
      <c r="BI1" s="90">
        <v>45897</v>
      </c>
      <c r="BJ1" s="90">
        <v>45898</v>
      </c>
      <c r="BK1" s="90">
        <v>45899</v>
      </c>
      <c r="BL1" s="90">
        <v>45900</v>
      </c>
      <c r="BM1" s="90">
        <v>45901</v>
      </c>
      <c r="BN1" s="90">
        <v>45902</v>
      </c>
      <c r="BO1" s="90">
        <v>45903</v>
      </c>
      <c r="BP1" s="90">
        <v>45904</v>
      </c>
      <c r="BQ1" s="90">
        <v>45905</v>
      </c>
      <c r="BR1" s="90">
        <v>45906</v>
      </c>
      <c r="BS1" s="90">
        <v>45907</v>
      </c>
      <c r="BT1" s="90">
        <v>45908</v>
      </c>
      <c r="BU1" s="90">
        <v>45909</v>
      </c>
      <c r="BV1" s="90">
        <v>45910</v>
      </c>
      <c r="BW1" s="90">
        <v>45911</v>
      </c>
      <c r="BX1" s="90">
        <v>45912</v>
      </c>
      <c r="BY1" s="90">
        <v>45913</v>
      </c>
      <c r="BZ1" s="90">
        <v>45914</v>
      </c>
      <c r="CA1" s="90">
        <v>45915</v>
      </c>
      <c r="CB1" s="90">
        <v>45916</v>
      </c>
      <c r="CC1" s="90">
        <v>45917</v>
      </c>
      <c r="CD1" s="90">
        <v>45918</v>
      </c>
      <c r="CE1" s="90">
        <v>45919</v>
      </c>
      <c r="CF1" s="90">
        <v>45920</v>
      </c>
      <c r="CG1" s="90">
        <v>45921</v>
      </c>
      <c r="CH1" s="90">
        <v>45922</v>
      </c>
      <c r="CI1" s="90">
        <v>45923</v>
      </c>
      <c r="CJ1" s="90">
        <v>45924</v>
      </c>
      <c r="CK1" s="90">
        <v>45925</v>
      </c>
      <c r="CL1" s="90">
        <v>45926</v>
      </c>
      <c r="CM1" s="90">
        <v>45927</v>
      </c>
      <c r="CN1" s="90">
        <v>45928</v>
      </c>
      <c r="CO1" s="90">
        <v>45929</v>
      </c>
      <c r="CP1" s="90">
        <v>45930</v>
      </c>
      <c r="CQ1" s="90">
        <v>45931</v>
      </c>
      <c r="CR1" s="90">
        <v>45932</v>
      </c>
      <c r="CS1" s="90">
        <v>45933</v>
      </c>
      <c r="CT1" s="90">
        <v>45934</v>
      </c>
      <c r="CU1" s="90">
        <v>45935</v>
      </c>
      <c r="CV1" s="90">
        <v>45936</v>
      </c>
      <c r="CW1" s="90">
        <v>45937</v>
      </c>
      <c r="CX1" s="90">
        <v>45938</v>
      </c>
      <c r="CY1" s="90">
        <v>45939</v>
      </c>
      <c r="CZ1" s="90">
        <v>45940</v>
      </c>
      <c r="DA1" s="90">
        <v>45941</v>
      </c>
      <c r="DB1" s="90">
        <v>45942</v>
      </c>
      <c r="DC1" s="90">
        <v>45943</v>
      </c>
      <c r="DD1" s="90">
        <v>45944</v>
      </c>
      <c r="DE1" s="90">
        <v>45945</v>
      </c>
      <c r="DF1" s="90">
        <v>45946</v>
      </c>
      <c r="DG1" s="90">
        <v>45947</v>
      </c>
      <c r="DH1" s="90">
        <v>45948</v>
      </c>
      <c r="DI1" s="90">
        <v>45949</v>
      </c>
      <c r="DJ1" s="90">
        <v>45950</v>
      </c>
      <c r="DK1" s="90">
        <v>45951</v>
      </c>
      <c r="DL1" s="90">
        <v>45952</v>
      </c>
      <c r="DM1" s="90">
        <v>45953</v>
      </c>
      <c r="DN1" s="90">
        <v>45954</v>
      </c>
      <c r="DO1" s="90">
        <v>45955</v>
      </c>
      <c r="DP1" s="90">
        <v>45956</v>
      </c>
      <c r="DQ1" s="90">
        <v>45957</v>
      </c>
      <c r="DR1" s="90">
        <v>45958</v>
      </c>
      <c r="DS1" s="90">
        <v>45959</v>
      </c>
      <c r="DT1" s="90">
        <v>45960</v>
      </c>
    </row>
    <row r="2" spans="1:124" s="6" customFormat="1" x14ac:dyDescent="0.3">
      <c r="A2" s="6" t="s">
        <v>248</v>
      </c>
      <c r="B2" s="6" t="s">
        <v>244</v>
      </c>
      <c r="C2" s="6" t="s">
        <v>245</v>
      </c>
      <c r="D2" s="6" t="s">
        <v>245</v>
      </c>
      <c r="E2" s="6" t="s">
        <v>245</v>
      </c>
      <c r="F2" s="6" t="s">
        <v>245</v>
      </c>
      <c r="G2" s="6" t="s">
        <v>245</v>
      </c>
      <c r="H2" s="6" t="s">
        <v>245</v>
      </c>
      <c r="I2" s="6" t="s">
        <v>246</v>
      </c>
      <c r="J2" s="6" t="s">
        <v>246</v>
      </c>
      <c r="K2" s="6" t="s">
        <v>246</v>
      </c>
      <c r="L2" s="6" t="s">
        <v>246</v>
      </c>
      <c r="M2" s="6" t="s">
        <v>246</v>
      </c>
      <c r="N2" s="6" t="s">
        <v>246</v>
      </c>
      <c r="O2" s="6" t="s">
        <v>246</v>
      </c>
      <c r="P2" s="6" t="s">
        <v>247</v>
      </c>
      <c r="Q2" s="6" t="s">
        <v>247</v>
      </c>
      <c r="R2" s="6" t="s">
        <v>247</v>
      </c>
      <c r="S2" s="6" t="s">
        <v>247</v>
      </c>
      <c r="T2" s="6" t="s">
        <v>247</v>
      </c>
      <c r="U2" s="6" t="s">
        <v>247</v>
      </c>
      <c r="V2" s="6" t="s">
        <v>247</v>
      </c>
      <c r="W2" s="6" t="s">
        <v>254</v>
      </c>
      <c r="X2" s="6" t="s">
        <v>254</v>
      </c>
      <c r="Y2" s="6" t="s">
        <v>254</v>
      </c>
      <c r="Z2" s="6" t="s">
        <v>254</v>
      </c>
      <c r="AA2" s="6" t="s">
        <v>254</v>
      </c>
      <c r="AB2" s="6" t="s">
        <v>254</v>
      </c>
      <c r="AF2" s="6" t="s">
        <v>279</v>
      </c>
      <c r="AG2" s="6" t="s">
        <v>280</v>
      </c>
      <c r="AH2" s="6" t="s">
        <v>281</v>
      </c>
      <c r="AI2" s="6" t="s">
        <v>279</v>
      </c>
      <c r="AJ2" s="6" t="s">
        <v>279</v>
      </c>
      <c r="AK2" s="6" t="s">
        <v>279</v>
      </c>
      <c r="AL2" s="6" t="s">
        <v>280</v>
      </c>
      <c r="AM2" s="6" t="s">
        <v>280</v>
      </c>
      <c r="AN2" s="6" t="s">
        <v>280</v>
      </c>
      <c r="AO2" s="6" t="s">
        <v>280</v>
      </c>
      <c r="AP2" s="6" t="s">
        <v>280</v>
      </c>
      <c r="AQ2" s="6" t="s">
        <v>280</v>
      </c>
      <c r="AR2" s="6" t="s">
        <v>280</v>
      </c>
      <c r="AS2" s="6" t="s">
        <v>281</v>
      </c>
      <c r="AT2" s="6" t="s">
        <v>281</v>
      </c>
      <c r="AU2" s="6" t="s">
        <v>281</v>
      </c>
      <c r="AV2" s="6" t="s">
        <v>281</v>
      </c>
      <c r="AW2" s="6" t="s">
        <v>281</v>
      </c>
      <c r="AX2" s="6" t="s">
        <v>281</v>
      </c>
      <c r="AY2" s="6" t="s">
        <v>281</v>
      </c>
      <c r="BC2" s="6" t="s">
        <v>321</v>
      </c>
      <c r="BD2" s="6" t="s">
        <v>321</v>
      </c>
      <c r="BE2" s="6" t="s">
        <v>321</v>
      </c>
      <c r="BF2" s="6" t="s">
        <v>321</v>
      </c>
      <c r="BG2" s="6" t="s">
        <v>321</v>
      </c>
      <c r="BH2" s="6" t="s">
        <v>321</v>
      </c>
      <c r="BI2" s="6" t="s">
        <v>321</v>
      </c>
      <c r="BJ2" s="6" t="s">
        <v>321</v>
      </c>
      <c r="BK2" s="6" t="s">
        <v>327</v>
      </c>
      <c r="BL2" s="6" t="s">
        <v>327</v>
      </c>
      <c r="BM2" s="6" t="s">
        <v>327</v>
      </c>
      <c r="BN2" s="6" t="s">
        <v>327</v>
      </c>
      <c r="BO2" s="6" t="s">
        <v>327</v>
      </c>
      <c r="BP2" s="6" t="s">
        <v>327</v>
      </c>
      <c r="BQ2" s="6" t="s">
        <v>327</v>
      </c>
    </row>
    <row r="3" spans="1:124" s="1" customFormat="1" x14ac:dyDescent="0.3">
      <c r="A3" s="1" t="s">
        <v>243</v>
      </c>
      <c r="B3" s="1">
        <v>80</v>
      </c>
      <c r="C3" s="1">
        <v>78.5</v>
      </c>
      <c r="D3" s="1">
        <v>77.900000000000006</v>
      </c>
      <c r="E3" s="1">
        <v>77.900000000000006</v>
      </c>
      <c r="F3" s="1">
        <v>77.900000000000006</v>
      </c>
      <c r="G3" s="1">
        <v>77.900000000000006</v>
      </c>
      <c r="H3" s="1">
        <v>77.900000000000006</v>
      </c>
      <c r="I3" s="1">
        <v>77.8</v>
      </c>
      <c r="J3" s="1">
        <v>77.3</v>
      </c>
      <c r="K3" s="1">
        <v>77.3</v>
      </c>
      <c r="L3" s="1">
        <v>77.3</v>
      </c>
      <c r="M3" s="1">
        <v>77.3</v>
      </c>
      <c r="N3" s="1">
        <v>77.099999999999994</v>
      </c>
      <c r="O3" s="1">
        <v>76.7</v>
      </c>
      <c r="P3" s="1">
        <v>76.5</v>
      </c>
      <c r="Q3" s="1">
        <v>76.5</v>
      </c>
      <c r="R3" s="1">
        <v>76.5</v>
      </c>
      <c r="S3" s="1">
        <v>76.5</v>
      </c>
      <c r="T3" s="1">
        <v>76.5</v>
      </c>
      <c r="U3" s="1">
        <v>76.5</v>
      </c>
      <c r="V3" s="1">
        <v>76.400000000000006</v>
      </c>
      <c r="W3" s="1">
        <v>76.400000000000006</v>
      </c>
      <c r="X3" s="1">
        <v>76</v>
      </c>
      <c r="Y3" s="1">
        <v>75.8</v>
      </c>
      <c r="Z3" s="1">
        <v>75.8</v>
      </c>
      <c r="AA3" s="1">
        <v>75.8</v>
      </c>
      <c r="AB3" s="1">
        <v>75.3</v>
      </c>
      <c r="AC3" s="1">
        <v>75.3</v>
      </c>
      <c r="AD3" s="1">
        <v>75.3</v>
      </c>
      <c r="AE3" s="1">
        <v>75.3</v>
      </c>
      <c r="AF3" s="1">
        <v>75.099999999999994</v>
      </c>
      <c r="AG3" s="1">
        <v>75.099999999999994</v>
      </c>
      <c r="AH3" s="1">
        <v>75.099999999999994</v>
      </c>
      <c r="AI3" s="1">
        <v>75.099999999999994</v>
      </c>
      <c r="AJ3" s="1">
        <v>74.7</v>
      </c>
      <c r="AK3" s="1">
        <v>74.599999999999994</v>
      </c>
      <c r="AP3" s="1">
        <v>74.2</v>
      </c>
      <c r="AQ3" s="1">
        <v>74</v>
      </c>
      <c r="AU3" s="1">
        <v>73.599999999999994</v>
      </c>
      <c r="BA3" s="1">
        <v>73.2</v>
      </c>
      <c r="BB3" s="1">
        <v>73.2</v>
      </c>
      <c r="BC3" s="1">
        <v>73</v>
      </c>
      <c r="BI3" s="1">
        <v>72.900000000000006</v>
      </c>
    </row>
    <row r="6" spans="1:124" s="1" customFormat="1" x14ac:dyDescent="0.3">
      <c r="A6" s="1" t="s">
        <v>250</v>
      </c>
      <c r="B6" s="1">
        <f>80-B3</f>
        <v>0</v>
      </c>
      <c r="C6" s="1">
        <f t="shared" ref="C6:BN6" si="0">80-C3</f>
        <v>1.5</v>
      </c>
      <c r="D6" s="1">
        <f t="shared" si="0"/>
        <v>2.0999999999999943</v>
      </c>
      <c r="E6" s="1">
        <f t="shared" si="0"/>
        <v>2.0999999999999943</v>
      </c>
      <c r="F6" s="1">
        <f t="shared" si="0"/>
        <v>2.0999999999999943</v>
      </c>
      <c r="G6" s="1">
        <f t="shared" si="0"/>
        <v>2.0999999999999943</v>
      </c>
      <c r="H6" s="1">
        <f t="shared" si="0"/>
        <v>2.0999999999999943</v>
      </c>
      <c r="I6" s="1">
        <f t="shared" si="0"/>
        <v>2.2000000000000028</v>
      </c>
      <c r="J6" s="1">
        <f t="shared" si="0"/>
        <v>2.7000000000000028</v>
      </c>
      <c r="K6" s="1">
        <f t="shared" si="0"/>
        <v>2.7000000000000028</v>
      </c>
      <c r="L6" s="1">
        <f t="shared" si="0"/>
        <v>2.7000000000000028</v>
      </c>
      <c r="M6" s="1">
        <f t="shared" si="0"/>
        <v>2.7000000000000028</v>
      </c>
      <c r="N6" s="1">
        <f t="shared" si="0"/>
        <v>2.9000000000000057</v>
      </c>
      <c r="O6" s="1">
        <f t="shared" si="0"/>
        <v>3.2999999999999972</v>
      </c>
      <c r="P6" s="1">
        <f t="shared" si="0"/>
        <v>3.5</v>
      </c>
      <c r="Q6" s="1">
        <f t="shared" si="0"/>
        <v>3.5</v>
      </c>
      <c r="R6" s="1">
        <f t="shared" si="0"/>
        <v>3.5</v>
      </c>
      <c r="S6" s="1">
        <f t="shared" si="0"/>
        <v>3.5</v>
      </c>
      <c r="T6" s="1">
        <f t="shared" si="0"/>
        <v>3.5</v>
      </c>
      <c r="U6" s="1">
        <f t="shared" si="0"/>
        <v>3.5</v>
      </c>
      <c r="V6" s="1">
        <f t="shared" si="0"/>
        <v>3.5999999999999943</v>
      </c>
      <c r="W6" s="1">
        <f t="shared" si="0"/>
        <v>3.5999999999999943</v>
      </c>
      <c r="X6" s="1">
        <f t="shared" si="0"/>
        <v>4</v>
      </c>
      <c r="Y6" s="1">
        <f t="shared" si="0"/>
        <v>4.2000000000000028</v>
      </c>
      <c r="Z6" s="1">
        <f t="shared" si="0"/>
        <v>4.2000000000000028</v>
      </c>
      <c r="AA6" s="1">
        <f t="shared" si="0"/>
        <v>4.2000000000000028</v>
      </c>
      <c r="AB6" s="1">
        <f t="shared" si="0"/>
        <v>4.7000000000000028</v>
      </c>
      <c r="AC6" s="1">
        <f t="shared" si="0"/>
        <v>4.7000000000000028</v>
      </c>
      <c r="AD6" s="1">
        <f t="shared" si="0"/>
        <v>4.7000000000000028</v>
      </c>
      <c r="AE6" s="1">
        <f t="shared" si="0"/>
        <v>4.7000000000000028</v>
      </c>
      <c r="AF6" s="1">
        <f t="shared" si="0"/>
        <v>4.9000000000000057</v>
      </c>
      <c r="AG6" s="1">
        <f t="shared" si="0"/>
        <v>4.9000000000000057</v>
      </c>
      <c r="AH6" s="1">
        <f t="shared" si="0"/>
        <v>4.9000000000000057</v>
      </c>
      <c r="AI6" s="1">
        <f t="shared" si="0"/>
        <v>4.9000000000000057</v>
      </c>
      <c r="AJ6" s="1">
        <f t="shared" si="0"/>
        <v>5.2999999999999972</v>
      </c>
      <c r="AK6" s="1">
        <f t="shared" si="0"/>
        <v>5.4000000000000057</v>
      </c>
      <c r="AL6" s="1">
        <f t="shared" si="0"/>
        <v>80</v>
      </c>
      <c r="AM6" s="1">
        <f t="shared" si="0"/>
        <v>80</v>
      </c>
      <c r="AN6" s="1">
        <f t="shared" si="0"/>
        <v>80</v>
      </c>
      <c r="AO6" s="1">
        <f t="shared" si="0"/>
        <v>80</v>
      </c>
      <c r="AP6" s="1">
        <f t="shared" si="0"/>
        <v>5.7999999999999972</v>
      </c>
      <c r="AQ6" s="1">
        <f t="shared" si="0"/>
        <v>6</v>
      </c>
      <c r="AR6" s="1">
        <f t="shared" si="0"/>
        <v>80</v>
      </c>
      <c r="AS6" s="1">
        <f t="shared" si="0"/>
        <v>80</v>
      </c>
      <c r="AT6" s="1">
        <f t="shared" si="0"/>
        <v>80</v>
      </c>
      <c r="AU6" s="1">
        <f t="shared" si="0"/>
        <v>6.4000000000000057</v>
      </c>
      <c r="AV6" s="1">
        <f t="shared" si="0"/>
        <v>80</v>
      </c>
      <c r="AW6" s="1">
        <f t="shared" si="0"/>
        <v>80</v>
      </c>
      <c r="AX6" s="1">
        <f t="shared" si="0"/>
        <v>80</v>
      </c>
      <c r="AY6" s="1">
        <f t="shared" si="0"/>
        <v>80</v>
      </c>
      <c r="AZ6" s="1">
        <f t="shared" si="0"/>
        <v>80</v>
      </c>
      <c r="BA6" s="1">
        <f t="shared" si="0"/>
        <v>6.7999999999999972</v>
      </c>
      <c r="BB6" s="1">
        <f t="shared" si="0"/>
        <v>6.7999999999999972</v>
      </c>
      <c r="BC6" s="1">
        <f t="shared" si="0"/>
        <v>7</v>
      </c>
      <c r="BD6" s="1">
        <f t="shared" si="0"/>
        <v>80</v>
      </c>
      <c r="BE6" s="1">
        <f t="shared" si="0"/>
        <v>80</v>
      </c>
      <c r="BF6" s="1">
        <f t="shared" si="0"/>
        <v>80</v>
      </c>
      <c r="BG6" s="1">
        <f t="shared" si="0"/>
        <v>80</v>
      </c>
      <c r="BI6" s="1">
        <f t="shared" si="0"/>
        <v>7.0999999999999943</v>
      </c>
      <c r="BJ6" s="1">
        <f t="shared" si="0"/>
        <v>80</v>
      </c>
      <c r="BK6" s="1">
        <f t="shared" si="0"/>
        <v>80</v>
      </c>
      <c r="BL6" s="1">
        <f t="shared" si="0"/>
        <v>80</v>
      </c>
      <c r="BM6" s="1">
        <f t="shared" si="0"/>
        <v>80</v>
      </c>
      <c r="BN6" s="1">
        <f t="shared" si="0"/>
        <v>80</v>
      </c>
      <c r="BO6" s="1">
        <f t="shared" ref="BO6:BQ6" si="1">80-BO3</f>
        <v>80</v>
      </c>
      <c r="BP6" s="1">
        <f t="shared" si="1"/>
        <v>80</v>
      </c>
      <c r="BQ6" s="1">
        <f t="shared" si="1"/>
        <v>80</v>
      </c>
    </row>
    <row r="13" spans="1:124" x14ac:dyDescent="0.3">
      <c r="A13" t="s">
        <v>343</v>
      </c>
    </row>
    <row r="14" spans="1:124" x14ac:dyDescent="0.3">
      <c r="A14" t="s">
        <v>287</v>
      </c>
    </row>
    <row r="15" spans="1:124" x14ac:dyDescent="0.3">
      <c r="A15" t="s">
        <v>288</v>
      </c>
    </row>
    <row r="16" spans="1:124" x14ac:dyDescent="0.3">
      <c r="A16" t="s">
        <v>289</v>
      </c>
    </row>
    <row r="17" spans="1:1" x14ac:dyDescent="0.3">
      <c r="A17" t="s">
        <v>290</v>
      </c>
    </row>
    <row r="18" spans="1:1" x14ac:dyDescent="0.3">
      <c r="A18" t="s">
        <v>291</v>
      </c>
    </row>
    <row r="19" spans="1:1" x14ac:dyDescent="0.3">
      <c r="A19" t="s">
        <v>292</v>
      </c>
    </row>
    <row r="20" spans="1:1" x14ac:dyDescent="0.3">
      <c r="A20" t="s">
        <v>293</v>
      </c>
    </row>
    <row r="21" spans="1:1" x14ac:dyDescent="0.3">
      <c r="A21" t="s">
        <v>294</v>
      </c>
    </row>
    <row r="22" spans="1:1" x14ac:dyDescent="0.3">
      <c r="A22" t="s">
        <v>295</v>
      </c>
    </row>
    <row r="23" spans="1:1" x14ac:dyDescent="0.3">
      <c r="A23" t="s">
        <v>296</v>
      </c>
    </row>
    <row r="24" spans="1:1" x14ac:dyDescent="0.3">
      <c r="A24" t="s">
        <v>297</v>
      </c>
    </row>
    <row r="25" spans="1:1" x14ac:dyDescent="0.3">
      <c r="A25" t="s">
        <v>298</v>
      </c>
    </row>
    <row r="26" spans="1:1" x14ac:dyDescent="0.3">
      <c r="A26" t="s">
        <v>340</v>
      </c>
    </row>
    <row r="27" spans="1:1" x14ac:dyDescent="0.3">
      <c r="A27" t="s">
        <v>341</v>
      </c>
    </row>
    <row r="28" spans="1:1" x14ac:dyDescent="0.3">
      <c r="A28" t="s">
        <v>342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B853-6ED8-43E7-8F4B-0E039D8B7F2F}">
  <dimension ref="A2:I93"/>
  <sheetViews>
    <sheetView workbookViewId="0">
      <selection activeCell="F9" sqref="F9"/>
    </sheetView>
  </sheetViews>
  <sheetFormatPr defaultRowHeight="14.4" x14ac:dyDescent="0.3"/>
  <cols>
    <col min="2" max="2" width="23.21875" bestFit="1" customWidth="1"/>
    <col min="3" max="4" width="17.33203125" bestFit="1" customWidth="1"/>
    <col min="5" max="5" width="17.6640625" customWidth="1"/>
    <col min="6" max="7" width="17.33203125" bestFit="1" customWidth="1"/>
    <col min="8" max="8" width="18.5546875" customWidth="1"/>
    <col min="9" max="9" width="21.88671875" bestFit="1" customWidth="1"/>
    <col min="10" max="10" width="15.5546875" bestFit="1" customWidth="1"/>
    <col min="12" max="12" width="12.21875" bestFit="1" customWidth="1"/>
  </cols>
  <sheetData>
    <row r="2" spans="1:9" x14ac:dyDescent="0.3">
      <c r="A2" s="2"/>
      <c r="B2" s="59" t="s">
        <v>271</v>
      </c>
      <c r="C2" s="93" t="s">
        <v>272</v>
      </c>
      <c r="D2" s="59" t="s">
        <v>275</v>
      </c>
      <c r="E2" s="59" t="s">
        <v>276</v>
      </c>
      <c r="F2" s="59" t="s">
        <v>273</v>
      </c>
      <c r="G2" s="59" t="s">
        <v>278</v>
      </c>
      <c r="I2" s="59" t="s">
        <v>277</v>
      </c>
    </row>
    <row r="3" spans="1:9" x14ac:dyDescent="0.3">
      <c r="A3" s="2"/>
      <c r="B3" s="92">
        <v>45192</v>
      </c>
      <c r="C3" s="92">
        <v>45922</v>
      </c>
      <c r="D3" s="92">
        <v>46192</v>
      </c>
      <c r="E3" s="2"/>
      <c r="F3" s="92">
        <v>47019</v>
      </c>
      <c r="G3" s="92">
        <v>47019</v>
      </c>
      <c r="I3" s="92">
        <v>46437</v>
      </c>
    </row>
    <row r="4" spans="1:9" x14ac:dyDescent="0.3">
      <c r="A4" s="6" t="s">
        <v>274</v>
      </c>
      <c r="B4" s="6">
        <v>1</v>
      </c>
      <c r="C4" s="6">
        <f>C3-B3</f>
        <v>730</v>
      </c>
      <c r="D4" s="6">
        <f>D3-C3</f>
        <v>270</v>
      </c>
      <c r="E4" s="2"/>
      <c r="F4" s="6">
        <f>F3-C3</f>
        <v>1097</v>
      </c>
      <c r="G4" s="6">
        <f>G3-B3</f>
        <v>1827</v>
      </c>
      <c r="I4" s="6">
        <f>I3-C3</f>
        <v>515</v>
      </c>
    </row>
    <row r="9" spans="1:9" x14ac:dyDescent="0.3">
      <c r="A9" s="2" t="s">
        <v>282</v>
      </c>
      <c r="B9" s="2" t="s">
        <v>284</v>
      </c>
      <c r="C9" s="6" t="s">
        <v>285</v>
      </c>
      <c r="D9" s="93" t="s">
        <v>272</v>
      </c>
      <c r="E9" s="6" t="s">
        <v>286</v>
      </c>
      <c r="F9" s="6" t="s">
        <v>346</v>
      </c>
      <c r="G9" s="1"/>
    </row>
    <row r="10" spans="1:9" x14ac:dyDescent="0.3">
      <c r="A10" s="2" t="s">
        <v>283</v>
      </c>
      <c r="B10" s="92">
        <v>45781</v>
      </c>
      <c r="C10" s="92">
        <v>45791</v>
      </c>
      <c r="D10" s="92">
        <v>45922</v>
      </c>
      <c r="E10" s="6">
        <f>D10-C10</f>
        <v>131</v>
      </c>
      <c r="F10" s="3">
        <f>E10/30</f>
        <v>4.3666666666666663</v>
      </c>
      <c r="G10" s="1"/>
    </row>
    <row r="11" spans="1:9" x14ac:dyDescent="0.3">
      <c r="G11" s="1"/>
    </row>
    <row r="12" spans="1:9" x14ac:dyDescent="0.3">
      <c r="G12" s="1"/>
    </row>
    <row r="13" spans="1:9" x14ac:dyDescent="0.3">
      <c r="A13" s="2" t="s">
        <v>23</v>
      </c>
      <c r="B13" s="2" t="s">
        <v>284</v>
      </c>
      <c r="C13" s="6" t="s">
        <v>285</v>
      </c>
      <c r="D13" s="93" t="s">
        <v>272</v>
      </c>
      <c r="E13" s="6" t="s">
        <v>286</v>
      </c>
      <c r="F13" s="6" t="s">
        <v>346</v>
      </c>
    </row>
    <row r="14" spans="1:9" x14ac:dyDescent="0.3">
      <c r="A14" s="2" t="s">
        <v>283</v>
      </c>
      <c r="B14" s="92">
        <v>45704</v>
      </c>
      <c r="C14" s="92"/>
      <c r="D14" s="92">
        <v>45922</v>
      </c>
      <c r="E14" s="6">
        <f>D14-B14</f>
        <v>218</v>
      </c>
      <c r="F14" s="3">
        <f>E14/30</f>
        <v>7.2666666666666666</v>
      </c>
    </row>
    <row r="17" spans="1:9" x14ac:dyDescent="0.3">
      <c r="A17" s="2"/>
      <c r="B17" s="6" t="s">
        <v>332</v>
      </c>
      <c r="C17" s="6" t="s">
        <v>333</v>
      </c>
      <c r="D17" s="6" t="s">
        <v>334</v>
      </c>
      <c r="E17" s="6" t="s">
        <v>345</v>
      </c>
      <c r="F17" s="6" t="s">
        <v>337</v>
      </c>
      <c r="G17" s="2"/>
      <c r="H17" s="100" t="s">
        <v>335</v>
      </c>
      <c r="I17" s="2" t="s">
        <v>336</v>
      </c>
    </row>
    <row r="18" spans="1:9" x14ac:dyDescent="0.3">
      <c r="A18" s="2" t="s">
        <v>331</v>
      </c>
      <c r="B18" s="92">
        <v>45940</v>
      </c>
      <c r="C18" s="92">
        <v>46238</v>
      </c>
      <c r="D18" s="92">
        <v>46269</v>
      </c>
      <c r="E18" s="92">
        <v>46511</v>
      </c>
      <c r="F18" s="92">
        <v>47242</v>
      </c>
      <c r="G18" s="2"/>
      <c r="H18" s="100">
        <v>47019</v>
      </c>
      <c r="I18" s="6">
        <f>F18-D18</f>
        <v>973</v>
      </c>
    </row>
    <row r="19" spans="1:9" x14ac:dyDescent="0.3">
      <c r="A19" s="2" t="s">
        <v>283</v>
      </c>
      <c r="B19" s="92">
        <v>45702</v>
      </c>
      <c r="C19" s="92">
        <v>46238</v>
      </c>
      <c r="D19" s="92">
        <v>46269</v>
      </c>
      <c r="E19" s="92">
        <v>46511</v>
      </c>
      <c r="F19" s="92">
        <v>47242</v>
      </c>
      <c r="G19" s="2"/>
      <c r="H19" s="2"/>
      <c r="I19" s="6">
        <f>F19-D19</f>
        <v>973</v>
      </c>
    </row>
    <row r="22" spans="1:9" x14ac:dyDescent="0.3">
      <c r="A22" s="2"/>
      <c r="B22" s="6" t="s">
        <v>332</v>
      </c>
      <c r="G22" s="2"/>
      <c r="H22" s="100" t="s">
        <v>335</v>
      </c>
      <c r="I22" s="2" t="s">
        <v>336</v>
      </c>
    </row>
    <row r="23" spans="1:9" x14ac:dyDescent="0.3">
      <c r="A23" s="2" t="s">
        <v>338</v>
      </c>
      <c r="B23" s="92">
        <v>45477</v>
      </c>
      <c r="C23" s="92">
        <v>46146</v>
      </c>
      <c r="D23" s="92">
        <v>46177</v>
      </c>
      <c r="E23" s="92">
        <v>46360</v>
      </c>
      <c r="F23" s="92">
        <v>47091</v>
      </c>
      <c r="G23" s="2"/>
      <c r="H23" s="100">
        <v>46811</v>
      </c>
      <c r="I23" s="6">
        <f>H23-D23</f>
        <v>634</v>
      </c>
    </row>
    <row r="27" spans="1:9" x14ac:dyDescent="0.3">
      <c r="C27" s="6" t="s">
        <v>339</v>
      </c>
      <c r="D27" s="6" t="s">
        <v>352</v>
      </c>
      <c r="E27" s="6" t="s">
        <v>345</v>
      </c>
      <c r="F27" s="6" t="s">
        <v>337</v>
      </c>
    </row>
    <row r="28" spans="1:9" x14ac:dyDescent="0.3">
      <c r="A28" t="s">
        <v>338</v>
      </c>
      <c r="C28" s="92">
        <v>46330</v>
      </c>
      <c r="D28" s="92">
        <v>46695</v>
      </c>
      <c r="E28" s="92">
        <v>46725</v>
      </c>
      <c r="F28" s="92">
        <v>47456</v>
      </c>
    </row>
    <row r="90" spans="1:8" x14ac:dyDescent="0.3">
      <c r="A90" s="2"/>
      <c r="B90" s="6" t="s">
        <v>332</v>
      </c>
      <c r="C90" s="6" t="s">
        <v>333</v>
      </c>
      <c r="D90" s="6" t="s">
        <v>334</v>
      </c>
      <c r="E90" s="6" t="s">
        <v>345</v>
      </c>
      <c r="F90" s="6" t="s">
        <v>337</v>
      </c>
      <c r="H90" s="104" t="s">
        <v>362</v>
      </c>
    </row>
    <row r="91" spans="1:8" x14ac:dyDescent="0.3">
      <c r="A91" s="2" t="s">
        <v>331</v>
      </c>
      <c r="B91" s="92">
        <v>45940</v>
      </c>
      <c r="C91" s="92">
        <v>46238</v>
      </c>
      <c r="D91" s="92">
        <v>46269</v>
      </c>
      <c r="E91" s="92">
        <v>46542</v>
      </c>
      <c r="F91" s="92">
        <v>47273</v>
      </c>
      <c r="H91">
        <f>F91-D91</f>
        <v>1004</v>
      </c>
    </row>
    <row r="92" spans="1:8" x14ac:dyDescent="0.3">
      <c r="A92" s="2" t="s">
        <v>283</v>
      </c>
      <c r="B92" s="92">
        <v>45702</v>
      </c>
      <c r="C92" s="92">
        <v>46238</v>
      </c>
      <c r="D92" s="92">
        <v>46269</v>
      </c>
      <c r="E92" s="92">
        <v>46542</v>
      </c>
      <c r="F92" s="92">
        <v>47273</v>
      </c>
      <c r="H92">
        <f>F92-D92</f>
        <v>1004</v>
      </c>
    </row>
    <row r="93" spans="1:8" x14ac:dyDescent="0.3">
      <c r="A93" s="2" t="s">
        <v>283</v>
      </c>
      <c r="B93" s="92">
        <v>45781</v>
      </c>
      <c r="C93" s="92">
        <v>45791</v>
      </c>
      <c r="D93" s="92">
        <v>45922</v>
      </c>
      <c r="E93" s="6">
        <f>D93-C93</f>
        <v>131</v>
      </c>
      <c r="F93" s="3">
        <f>E93/30</f>
        <v>4.3666666666666663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0B2E-DF5B-47B1-9B07-7C154DAD3994}">
  <dimension ref="A1:L21"/>
  <sheetViews>
    <sheetView workbookViewId="0">
      <selection activeCell="G27" sqref="G27"/>
    </sheetView>
  </sheetViews>
  <sheetFormatPr defaultRowHeight="14.4" x14ac:dyDescent="0.3"/>
  <cols>
    <col min="1" max="1" width="8.88671875" style="1"/>
    <col min="2" max="2" width="8.33203125" style="1" bestFit="1" customWidth="1"/>
    <col min="3" max="3" width="54.77734375" bestFit="1" customWidth="1"/>
    <col min="4" max="4" width="10.44140625" bestFit="1" customWidth="1"/>
    <col min="8" max="8" width="16.33203125" customWidth="1"/>
    <col min="9" max="9" width="15.88671875" customWidth="1"/>
    <col min="10" max="10" width="15.33203125" customWidth="1"/>
    <col min="11" max="11" width="12.21875" bestFit="1" customWidth="1"/>
    <col min="12" max="12" width="15.33203125" customWidth="1"/>
    <col min="13" max="13" width="12.6640625" customWidth="1"/>
  </cols>
  <sheetData>
    <row r="1" spans="1:12" x14ac:dyDescent="0.3">
      <c r="A1" s="6" t="s">
        <v>311</v>
      </c>
      <c r="B1" s="6" t="s">
        <v>306</v>
      </c>
      <c r="C1" s="6" t="s">
        <v>307</v>
      </c>
      <c r="D1" s="6" t="s">
        <v>312</v>
      </c>
      <c r="E1" s="6" t="s">
        <v>316</v>
      </c>
    </row>
    <row r="2" spans="1:12" x14ac:dyDescent="0.3">
      <c r="A2" s="6">
        <v>1</v>
      </c>
      <c r="B2" s="6" t="s">
        <v>305</v>
      </c>
      <c r="C2" s="2" t="s">
        <v>304</v>
      </c>
      <c r="D2" s="2" t="s">
        <v>313</v>
      </c>
      <c r="E2" s="2"/>
    </row>
    <row r="3" spans="1:12" x14ac:dyDescent="0.3">
      <c r="A3" s="6">
        <v>2</v>
      </c>
      <c r="B3" s="6" t="s">
        <v>305</v>
      </c>
      <c r="C3" s="2" t="s">
        <v>308</v>
      </c>
      <c r="D3" s="2" t="s">
        <v>313</v>
      </c>
      <c r="E3" s="2"/>
    </row>
    <row r="4" spans="1:12" x14ac:dyDescent="0.3">
      <c r="A4" s="6">
        <v>3</v>
      </c>
      <c r="B4" s="6" t="s">
        <v>305</v>
      </c>
      <c r="C4" s="2" t="s">
        <v>309</v>
      </c>
      <c r="D4" s="2" t="s">
        <v>313</v>
      </c>
      <c r="E4" s="2"/>
    </row>
    <row r="5" spans="1:12" x14ac:dyDescent="0.3">
      <c r="A5" s="6">
        <v>4</v>
      </c>
      <c r="B5" s="6" t="s">
        <v>305</v>
      </c>
      <c r="C5" s="2" t="s">
        <v>310</v>
      </c>
      <c r="D5" s="2" t="s">
        <v>313</v>
      </c>
      <c r="E5" s="2"/>
    </row>
    <row r="6" spans="1:12" x14ac:dyDescent="0.3">
      <c r="A6" s="6">
        <v>5</v>
      </c>
      <c r="B6" s="6" t="s">
        <v>315</v>
      </c>
      <c r="C6" s="97" t="s">
        <v>314</v>
      </c>
      <c r="D6" s="2" t="s">
        <v>313</v>
      </c>
      <c r="E6" s="6">
        <v>1</v>
      </c>
    </row>
    <row r="7" spans="1:12" x14ac:dyDescent="0.3">
      <c r="A7" s="6">
        <v>6</v>
      </c>
      <c r="B7" s="6" t="s">
        <v>315</v>
      </c>
      <c r="C7" s="2"/>
      <c r="D7" s="2"/>
      <c r="E7" s="2"/>
      <c r="H7" s="6" t="s">
        <v>317</v>
      </c>
      <c r="I7" s="98">
        <v>8086</v>
      </c>
      <c r="J7" s="6">
        <v>5</v>
      </c>
      <c r="K7" s="6" t="s">
        <v>344</v>
      </c>
    </row>
    <row r="8" spans="1:12" x14ac:dyDescent="0.3">
      <c r="A8" s="6">
        <v>7</v>
      </c>
      <c r="B8" s="6"/>
      <c r="C8" s="2"/>
      <c r="D8" s="2"/>
      <c r="E8" s="2"/>
      <c r="H8" s="6" t="s">
        <v>317</v>
      </c>
      <c r="I8" s="57">
        <v>8015</v>
      </c>
      <c r="J8" s="6">
        <v>8</v>
      </c>
      <c r="K8" s="6" t="s">
        <v>318</v>
      </c>
    </row>
    <row r="9" spans="1:12" x14ac:dyDescent="0.3">
      <c r="A9" s="6">
        <v>8</v>
      </c>
      <c r="B9" s="6"/>
      <c r="C9" s="2"/>
      <c r="D9" s="2"/>
      <c r="E9" s="2"/>
      <c r="H9" s="6" t="s">
        <v>317</v>
      </c>
      <c r="I9" s="98">
        <v>8097</v>
      </c>
      <c r="J9" s="6">
        <v>5</v>
      </c>
      <c r="K9" s="6" t="s">
        <v>344</v>
      </c>
    </row>
    <row r="10" spans="1:12" x14ac:dyDescent="0.3">
      <c r="A10" s="6">
        <v>9</v>
      </c>
      <c r="B10" s="6"/>
      <c r="C10" s="2"/>
      <c r="D10" s="2"/>
      <c r="E10" s="2"/>
      <c r="H10" s="6" t="s">
        <v>317</v>
      </c>
      <c r="I10" s="57">
        <v>8040</v>
      </c>
      <c r="J10" s="6">
        <v>5</v>
      </c>
      <c r="K10" s="6" t="s">
        <v>318</v>
      </c>
    </row>
    <row r="11" spans="1:12" x14ac:dyDescent="0.3">
      <c r="A11" s="6"/>
      <c r="B11" s="6"/>
      <c r="C11" s="2"/>
      <c r="D11" s="2"/>
      <c r="E11" s="2"/>
      <c r="H11" s="6" t="s">
        <v>317</v>
      </c>
      <c r="I11" s="98">
        <v>8039</v>
      </c>
      <c r="J11" s="6">
        <v>2</v>
      </c>
      <c r="K11" s="6" t="s">
        <v>344</v>
      </c>
    </row>
    <row r="12" spans="1:12" x14ac:dyDescent="0.3">
      <c r="A12" s="6"/>
      <c r="B12" s="6"/>
      <c r="C12" s="2"/>
      <c r="D12" s="2"/>
      <c r="E12" s="2"/>
      <c r="H12" s="6" t="s">
        <v>317</v>
      </c>
      <c r="I12" s="57">
        <v>8051</v>
      </c>
      <c r="J12" s="6">
        <v>5</v>
      </c>
      <c r="K12" s="6" t="s">
        <v>318</v>
      </c>
    </row>
    <row r="13" spans="1:12" x14ac:dyDescent="0.3">
      <c r="A13" s="6"/>
      <c r="B13" s="6"/>
      <c r="C13" s="2"/>
      <c r="D13" s="2"/>
      <c r="E13" s="2"/>
      <c r="H13" s="6" t="s">
        <v>317</v>
      </c>
      <c r="I13" s="57">
        <v>7875</v>
      </c>
      <c r="J13" s="6">
        <v>8</v>
      </c>
      <c r="K13" s="6" t="s">
        <v>318</v>
      </c>
      <c r="L13" s="1">
        <v>6</v>
      </c>
    </row>
    <row r="14" spans="1:12" x14ac:dyDescent="0.3">
      <c r="A14" s="6"/>
      <c r="B14" s="6"/>
      <c r="C14" s="2"/>
      <c r="D14" s="2"/>
      <c r="E14" s="2"/>
      <c r="H14" s="6" t="s">
        <v>317</v>
      </c>
      <c r="I14" s="57">
        <v>8028</v>
      </c>
      <c r="J14" s="6">
        <v>4</v>
      </c>
      <c r="K14" s="6" t="s">
        <v>318</v>
      </c>
    </row>
    <row r="15" spans="1:12" x14ac:dyDescent="0.3">
      <c r="A15" s="6"/>
      <c r="B15" s="6"/>
      <c r="C15" s="2"/>
      <c r="D15" s="2"/>
      <c r="E15" s="2"/>
      <c r="H15" s="6" t="s">
        <v>320</v>
      </c>
      <c r="I15" s="57">
        <v>8046</v>
      </c>
      <c r="J15" s="6">
        <v>3</v>
      </c>
      <c r="K15" s="6" t="s">
        <v>318</v>
      </c>
    </row>
    <row r="16" spans="1:12" x14ac:dyDescent="0.3">
      <c r="A16" s="6"/>
      <c r="B16" s="6"/>
      <c r="C16" s="2"/>
      <c r="D16" s="2"/>
      <c r="E16" s="2"/>
      <c r="H16" s="6" t="s">
        <v>320</v>
      </c>
      <c r="I16" s="98">
        <v>7919</v>
      </c>
      <c r="J16" s="6">
        <v>2</v>
      </c>
      <c r="K16" s="6" t="s">
        <v>318</v>
      </c>
    </row>
    <row r="17" spans="1:12" x14ac:dyDescent="0.3">
      <c r="A17" s="6"/>
      <c r="B17" s="6"/>
      <c r="C17" s="2"/>
      <c r="D17" s="2"/>
      <c r="E17" s="2"/>
      <c r="H17" s="6" t="s">
        <v>320</v>
      </c>
      <c r="I17" s="57">
        <v>8119</v>
      </c>
      <c r="J17" s="6">
        <v>5</v>
      </c>
      <c r="K17" s="6" t="s">
        <v>318</v>
      </c>
    </row>
    <row r="18" spans="1:12" x14ac:dyDescent="0.3">
      <c r="H18" s="6" t="s">
        <v>320</v>
      </c>
      <c r="I18" s="57">
        <v>8094</v>
      </c>
      <c r="J18" s="6">
        <v>8</v>
      </c>
      <c r="K18" s="6" t="s">
        <v>318</v>
      </c>
      <c r="L18" s="1">
        <v>7</v>
      </c>
    </row>
    <row r="19" spans="1:12" x14ac:dyDescent="0.3">
      <c r="H19" s="6" t="s">
        <v>317</v>
      </c>
      <c r="I19" s="57">
        <v>8055</v>
      </c>
      <c r="J19" s="6">
        <v>3</v>
      </c>
      <c r="K19" s="6" t="s">
        <v>318</v>
      </c>
    </row>
    <row r="20" spans="1:12" x14ac:dyDescent="0.3">
      <c r="H20" s="6" t="s">
        <v>317</v>
      </c>
      <c r="I20" s="6">
        <v>8063</v>
      </c>
      <c r="J20" s="6">
        <v>2</v>
      </c>
      <c r="K20" s="2" t="s">
        <v>319</v>
      </c>
    </row>
    <row r="21" spans="1:12" x14ac:dyDescent="0.3">
      <c r="H21" s="6" t="s">
        <v>317</v>
      </c>
      <c r="I21" s="6">
        <v>8089</v>
      </c>
      <c r="J21" s="6">
        <v>2</v>
      </c>
      <c r="K21" s="2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Can</vt:lpstr>
      <vt:lpstr>Travel</vt:lpstr>
      <vt:lpstr>CV</vt:lpstr>
      <vt:lpstr>EMI</vt:lpstr>
      <vt:lpstr>Health</vt:lpstr>
      <vt:lpstr>Days</vt:lpstr>
      <vt:lpstr>Learning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Seshadri, Sundar Rajan (Cognizant)</dc:creator>
  <cp:lastModifiedBy>Seshadri, Sundar Rajan (Cognizant)</cp:lastModifiedBy>
  <dcterms:created xsi:type="dcterms:W3CDTF">2022-09-06T06:06:38Z</dcterms:created>
  <dcterms:modified xsi:type="dcterms:W3CDTF">2026-01-24T18:10:00Z</dcterms:modified>
</cp:coreProperties>
</file>